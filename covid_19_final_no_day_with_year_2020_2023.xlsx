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ENOVA\OneDrive\Desktop\"/>
    </mc:Choice>
  </mc:AlternateContent>
  <bookViews>
    <workbookView xWindow="0" yWindow="0" windowWidth="19200" windowHeight="6930" activeTab="4"/>
  </bookViews>
  <sheets>
    <sheet name="Table" sheetId="1" r:id="rId1"/>
    <sheet name="Sheet3" sheetId="4" r:id="rId2"/>
    <sheet name="Pivot" sheetId="2" r:id="rId3"/>
    <sheet name="Dashboard" sheetId="3" r:id="rId4"/>
    <sheet name="Dashboard 2" sheetId="5" r:id="rId5"/>
  </sheets>
  <calcPr calcId="162913"/>
  <pivotCaches>
    <pivotCache cacheId="0" r:id="rId6"/>
    <pivotCache cacheId="1" r:id="rId7"/>
    <pivotCache cacheId="2" r:id="rId8"/>
  </pivotCaches>
</workbook>
</file>

<file path=xl/calcChain.xml><?xml version="1.0" encoding="utf-8"?>
<calcChain xmlns="http://schemas.openxmlformats.org/spreadsheetml/2006/main">
  <c r="C11" i="3" l="1"/>
  <c r="I18" i="3"/>
  <c r="R5" i="1"/>
  <c r="C4" i="4"/>
  <c r="C7" i="4"/>
  <c r="C6" i="4"/>
  <c r="C5" i="4"/>
  <c r="C3" i="4"/>
  <c r="C2" i="4"/>
  <c r="B4" i="4"/>
  <c r="B3" i="4"/>
  <c r="B2" i="4"/>
  <c r="F18" i="3"/>
  <c r="C18" i="3"/>
  <c r="L11" i="3"/>
  <c r="I11" i="3"/>
  <c r="F11" i="3"/>
  <c r="R7" i="1"/>
  <c r="R17" i="1"/>
  <c r="R15" i="1"/>
  <c r="R13" i="1"/>
  <c r="R11" i="1"/>
  <c r="R9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" i="1"/>
</calcChain>
</file>

<file path=xl/sharedStrings.xml><?xml version="1.0" encoding="utf-8"?>
<sst xmlns="http://schemas.openxmlformats.org/spreadsheetml/2006/main" count="805" uniqueCount="287">
  <si>
    <t>country</t>
  </si>
  <si>
    <t>continent</t>
  </si>
  <si>
    <t>population</t>
  </si>
  <si>
    <t>Year</t>
  </si>
  <si>
    <t>Cases</t>
  </si>
  <si>
    <t>Recovered</t>
  </si>
  <si>
    <t>Deaths</t>
  </si>
  <si>
    <t>Active</t>
  </si>
  <si>
    <t>Vaccinated</t>
  </si>
  <si>
    <t>Recovery %</t>
  </si>
  <si>
    <t>Death %</t>
  </si>
  <si>
    <t>Vaccination %</t>
  </si>
  <si>
    <t>Tests</t>
  </si>
  <si>
    <t>Afghanistan</t>
  </si>
  <si>
    <t>Africa</t>
  </si>
  <si>
    <t>Albania</t>
  </si>
  <si>
    <t>Algeria</t>
  </si>
  <si>
    <t>Andorra</t>
  </si>
  <si>
    <t>Angola</t>
  </si>
  <si>
    <t>Anguilla</t>
  </si>
  <si>
    <t>Antigua-and-Barbuda</t>
  </si>
  <si>
    <t>Argentina</t>
  </si>
  <si>
    <t>Armenia</t>
  </si>
  <si>
    <t>Aruba</t>
  </si>
  <si>
    <t>Asia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</si>
  <si>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</si>
  <si>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</si>
  <si>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</si>
  <si>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</si>
  <si>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</si>
  <si>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</si>
  <si>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</si>
  <si>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</si>
  <si>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</si>
  <si>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</si>
  <si>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</si>
  <si>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</si>
  <si>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</si>
  <si>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</si>
  <si>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Bosnia-and-Herzegovina</t>
  </si>
  <si>
    <t>Botswana</t>
  </si>
  <si>
    <t>Brazil</t>
  </si>
  <si>
    <t>British-Virgin-Islands</t>
  </si>
  <si>
    <t>Brunei</t>
  </si>
  <si>
    <t>Bulgaria</t>
  </si>
  <si>
    <t>Burkina-Faso</t>
  </si>
  <si>
    <t>Burundi</t>
  </si>
  <si>
    <t>CAR</t>
  </si>
  <si>
    <t>Cabo-Verde</t>
  </si>
  <si>
    <t>Cambodia</t>
  </si>
  <si>
    <t>Cameroon</t>
  </si>
  <si>
    <t>Canada</t>
  </si>
  <si>
    <t>Caribbean-Netherlands</t>
  </si>
  <si>
    <t>Cayman-Islands</t>
  </si>
  <si>
    <t>Chad</t>
  </si>
  <si>
    <t>Channel-Islands</t>
  </si>
  <si>
    <t>Chile</t>
  </si>
  <si>
    <t>China</t>
  </si>
  <si>
    <t>Colombia</t>
  </si>
  <si>
    <t>Comoros</t>
  </si>
  <si>
    <t>Congo</t>
  </si>
  <si>
    <t>Cook-Islands</t>
  </si>
  <si>
    <t>Costa-Rica</t>
  </si>
  <si>
    <t>Croatia</t>
  </si>
  <si>
    <t>Cuba</t>
  </si>
  <si>
    <t>Cura&amp;ccedil;ao</t>
  </si>
  <si>
    <t>Cyprus</t>
  </si>
  <si>
    <t>Czechia</t>
  </si>
  <si>
    <t>DPRK</t>
  </si>
  <si>
    <t>DRC</t>
  </si>
  <si>
    <t>Denmark</t>
  </si>
  <si>
    <t>Diamond-Princess</t>
  </si>
  <si>
    <t>Djibouti</t>
  </si>
  <si>
    <t>Dominica</t>
  </si>
  <si>
    <t>Dominican-Republic</t>
  </si>
  <si>
    <t>Ecuador</t>
  </si>
  <si>
    <t>Egypt</t>
  </si>
  <si>
    <t>El-Salvador</t>
  </si>
  <si>
    <t>Equatorial-Guinea</t>
  </si>
  <si>
    <t>Eritrea</t>
  </si>
  <si>
    <t>Estonia</t>
  </si>
  <si>
    <t>Eswatini</t>
  </si>
  <si>
    <t>Ethiopia</t>
  </si>
  <si>
    <t>Europe</t>
  </si>
  <si>
    <t>Faeroe-Islands</t>
  </si>
  <si>
    <t>Falkland-Islands</t>
  </si>
  <si>
    <t>Fiji</t>
  </si>
  <si>
    <t>Finland</t>
  </si>
  <si>
    <t>France</t>
  </si>
  <si>
    <t>French-Guiana</t>
  </si>
  <si>
    <t>French-Polynesia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</si>
  <si>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</si>
  <si>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</si>
  <si>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</si>
  <si>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</si>
  <si>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</si>
  <si>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</si>
  <si>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</si>
  <si>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</si>
  <si>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</si>
  <si>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</si>
  <si>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</si>
  <si>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</si>
  <si>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</si>
  <si>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</si>
  <si>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Haiti</t>
  </si>
  <si>
    <t>Honduras</t>
  </si>
  <si>
    <t>Hong-Kong</t>
  </si>
  <si>
    <t>Hungary</t>
  </si>
  <si>
    <t>Iceland</t>
  </si>
  <si>
    <t>India</t>
  </si>
  <si>
    <t>Indonesia</t>
  </si>
  <si>
    <t>Iran</t>
  </si>
  <si>
    <t>Iraq</t>
  </si>
  <si>
    <t>Ireland</t>
  </si>
  <si>
    <t>Isle-of-Man</t>
  </si>
  <si>
    <t>Israel</t>
  </si>
  <si>
    <t>Italy</t>
  </si>
  <si>
    <t>Ivory-Coast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</si>
  <si>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</si>
  <si>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</si>
  <si>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</si>
  <si>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</si>
  <si>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</si>
  <si>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</si>
  <si>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</si>
  <si>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</si>
  <si>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</si>
  <si>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</si>
  <si>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</si>
  <si>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</si>
  <si>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</si>
  <si>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</si>
  <si>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</si>
  <si>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</si>
  <si>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</si>
  <si>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MS-Zaandam</t>
  </si>
  <si>
    <t>Macao</t>
  </si>
  <si>
    <t>Madagascar</t>
  </si>
  <si>
    <t>Malawi</t>
  </si>
  <si>
    <t>Malaysia</t>
  </si>
  <si>
    <t>Maldives</t>
  </si>
  <si>
    <t>Mali</t>
  </si>
  <si>
    <t>Malta</t>
  </si>
  <si>
    <t>Marshall-Islands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</si>
  <si>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</si>
  <si>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</si>
  <si>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</si>
  <si>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</si>
  <si>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</si>
  <si>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</si>
  <si>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</si>
  <si>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</si>
  <si>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</si>
  <si>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</si>
  <si>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</si>
  <si>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</si>
  <si>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</si>
  <si>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</si>
  <si>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</si>
  <si>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</si>
  <si>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</si>
  <si>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</si>
  <si>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New-Caledonia</t>
  </si>
  <si>
    <t>New-Zealand</t>
  </si>
  <si>
    <t>Nicaragua</t>
  </si>
  <si>
    <t>Niger</t>
  </si>
  <si>
    <t>Nigeria</t>
  </si>
  <si>
    <t>Niue</t>
  </si>
  <si>
    <t>North-America</t>
  </si>
  <si>
    <t>North-Macedonia</t>
  </si>
  <si>
    <t>Norway</t>
  </si>
  <si>
    <t>Oceania</t>
  </si>
  <si>
    <t>Oman</t>
  </si>
  <si>
    <t>Pakistan</t>
  </si>
  <si>
    <t>Palau</t>
  </si>
  <si>
    <t>Palestine</t>
  </si>
  <si>
    <t>Panama</t>
  </si>
  <si>
    <t>Papua-New-Guinea</t>
  </si>
  <si>
    <t>Paraguay</t>
  </si>
  <si>
    <t>Peru</t>
  </si>
  <si>
    <t>Philippines</t>
  </si>
  <si>
    <t>Poland</t>
  </si>
  <si>
    <t>Portugal</t>
  </si>
  <si>
    <t>Qatar</t>
  </si>
  <si>
    <t>R&amp;eacute;union</t>
  </si>
  <si>
    <t>Romania</t>
  </si>
  <si>
    <t>Russia</t>
  </si>
  <si>
    <t>Rwanda</t>
  </si>
  <si>
    <t>S-Korea</t>
  </si>
  <si>
    <t>Saint-Helena</t>
  </si>
  <si>
    <t>Saint-Kitts-and-Nevis</t>
  </si>
  <si>
    <t>Saint-Lucia</t>
  </si>
  <si>
    <t>Saint-Martin</t>
  </si>
  <si>
    <t>Saint-Pierre-Miquelon</t>
  </si>
  <si>
    <t>Samoa</t>
  </si>
  <si>
    <t>San-Marino</t>
  </si>
  <si>
    <t>Sao-Tome-and-Principe</t>
  </si>
  <si>
    <t>Saudi-Arabia</t>
  </si>
  <si>
    <t>Senegal</t>
  </si>
  <si>
    <t>Serbia</t>
  </si>
  <si>
    <t>Seychelles</t>
  </si>
  <si>
    <t>Sierra-Leone</t>
  </si>
  <si>
    <t>Singapore</t>
  </si>
  <si>
    <t>Sint-Maarten</t>
  </si>
  <si>
    <t>Slovakia</t>
  </si>
  <si>
    <t>Slovenia</t>
  </si>
  <si>
    <t>Solomon-Islands</t>
  </si>
  <si>
    <t>Somalia</t>
  </si>
  <si>
    <t>South-Africa</t>
  </si>
  <si>
    <t>South-America</t>
  </si>
  <si>
    <t>South-Sudan</t>
  </si>
  <si>
    <t>Spain</t>
  </si>
  <si>
    <t>Sri-Lanka</t>
  </si>
  <si>
    <t>St-Barth</t>
  </si>
  <si>
    <t>St-Vincent-Grenadines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</si>
  <si>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</si>
  <si>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</si>
  <si>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</si>
  <si>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</si>
  <si>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</si>
  <si>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</si>
  <si>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</si>
  <si>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</si>
  <si>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</si>
  <si>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</si>
  <si>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</si>
  <si>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</t>
  </si>
  <si>
    <t>Tonga</t>
  </si>
  <si>
    <t>Trinidad-and-Tobago</t>
  </si>
  <si>
    <t>Tunisia</t>
  </si>
  <si>
    <t>Turkey</t>
  </si>
  <si>
    <t>Turks-and-Caicos</t>
  </si>
  <si>
    <t>Tuvalu</t>
  </si>
  <si>
    <t>UAE</t>
  </si>
  <si>
    <t>UK</t>
  </si>
  <si>
    <t>USA</t>
  </si>
  <si>
    <t>Uganda</t>
  </si>
  <si>
    <t>Ukraine</t>
  </si>
  <si>
    <t>Uruguay</t>
  </si>
  <si>
    <t>Uzbekistan</t>
  </si>
  <si>
    <t>Vanuatu</t>
  </si>
  <si>
    <t>Vatican-City</t>
  </si>
  <si>
    <t>Venezuela</t>
  </si>
  <si>
    <t>Vietnam</t>
  </si>
  <si>
    <t>Wallis-and-Futuna</t>
  </si>
  <si>
    <t>Western-Sahara</t>
  </si>
  <si>
    <t>Yemen</t>
  </si>
  <si>
    <t>Zambia</t>
  </si>
  <si>
    <t>Zimbabwe</t>
  </si>
  <si>
    <t>Row Labels</t>
  </si>
  <si>
    <t>Grand Total</t>
  </si>
  <si>
    <t>Sum of Cases</t>
  </si>
  <si>
    <t>Rank by cases</t>
  </si>
  <si>
    <t>Count of country</t>
  </si>
  <si>
    <t>Sum of Deaths</t>
  </si>
  <si>
    <t>1st</t>
  </si>
  <si>
    <t>2nd</t>
  </si>
  <si>
    <t>3rd</t>
  </si>
  <si>
    <t>4th</t>
  </si>
  <si>
    <t>5th</t>
  </si>
  <si>
    <t>Sum of Recovered</t>
  </si>
  <si>
    <t>(blank)</t>
  </si>
  <si>
    <t>Average of Vaccination %</t>
  </si>
  <si>
    <t>Sum of population</t>
  </si>
  <si>
    <t>Sum of Active</t>
  </si>
  <si>
    <t>Sum of Death %</t>
  </si>
  <si>
    <t>COVID - 19  ANALYSIS</t>
  </si>
  <si>
    <t>COUNTRIS</t>
  </si>
  <si>
    <t>North America</t>
  </si>
  <si>
    <t>South America</t>
  </si>
  <si>
    <t>Total no of  countrie</t>
  </si>
  <si>
    <t>Total no of death</t>
  </si>
  <si>
    <t>Total no of Recovered</t>
  </si>
  <si>
    <t>Total no of Cases</t>
  </si>
  <si>
    <t>Total no of Active</t>
  </si>
  <si>
    <t xml:space="preserve">Total no of Vaccinated </t>
  </si>
  <si>
    <t>Total no of Tests taken</t>
  </si>
  <si>
    <t>NO.OF.CASES</t>
  </si>
  <si>
    <t>NO.OF ACTIVE</t>
  </si>
  <si>
    <t>NO.OF VACCINATED</t>
  </si>
  <si>
    <t>NO.OF RECOVERED</t>
  </si>
  <si>
    <t>NO.OF DEATH</t>
  </si>
  <si>
    <t>NO.OF TEST TAKEN</t>
  </si>
  <si>
    <t>TOTAL NO OF CONTINENT</t>
  </si>
  <si>
    <t>\</t>
  </si>
  <si>
    <t>NO.OF 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</si>
</sst>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2" fillId="10" borderId="0" xfId="0" applyFont="1" applyFill="1" applyBorder="1" applyAlignment="1">
      <alignment horizontal="center" vertical="center"/>
    </xf>
    <xf numFmtId="0" fontId="0" fillId="10" borderId="0" xfId="0" applyFill="1" applyBorder="1" applyAlignment="1">
      <alignment horizontal="center" vertical="center"/>
    </xf>
    <xf numFmtId="0" fontId="0" fillId="0" borderId="7" xfId="0" applyBorder="1"/>
    <xf numFmtId="0" fontId="0" fillId="3" borderId="0" xfId="0" applyFill="1" applyBorder="1" applyAlignment="1">
      <alignment horizontal="center"/>
    </xf>
    <xf numFmtId="0" fontId="1" fillId="4" borderId="0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9" borderId="0" xfId="0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[covid_19_final_no_day_with_year_2020_2023.xlsx]Pivot!PivotTable9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Recovered</a:t>
            </a:r>
          </a:p>
        </c:rich>
      </c:tx>
      <c:layout>
        <c:manualLayout>
          <c:xMode val="edge"/>
          <c:yMode val="edge"/>
          <c:x val="0.12250783400821753"/>
          <c:y val="6.923079972723957E-2"/>
        </c:manualLayout>
      </c:layout>
      <c:overlay val="0"/>
      <c:spPr>
        <a:solidFill>
          <a:schemeClr val="bg1">
            <a:lumMod val="85000"/>
          </a:schemeClr>
        </a:solidFill>
        <a:ln>
          <a:noFill/>
        </a:ln>
        <a:effectLst>
          <a:glow rad="50800">
            <a:schemeClr val="accent1">
              <a:satMod val="175000"/>
              <a:alpha val="40000"/>
            </a:schemeClr>
          </a:glow>
          <a:outerShdw blurRad="50800" dist="38100" dir="5400000" algn="t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4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Pivot!$E$2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Pivot!$D$3:$D$7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strCache>
            </c:strRef>
          </c:cat>
          <c:val>
            <c:numRef>
              <c:f>Pivot!$E$3:$E$7</c:f>
              <c:numCache>
                <c:formatCode>General</c:formatCode>
                <c:ptCount val="4"/>
                <c:pt idx="0">
                  <c:v>893098109</c:v>
                </c:pt>
                <c:pt idx="1">
                  <c:v>79687140</c:v>
                </c:pt>
                <c:pt idx="2">
                  <c:v>166354055</c:v>
                </c:pt>
                <c:pt idx="3">
                  <c:v>108334451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D9-40F5-8D94-8EF25B6E1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68407775"/>
        <c:axId val="1568420255"/>
        <c:axId val="0"/>
      </c:bar3DChart>
      <c:catAx>
        <c:axId val="1568407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420255"/>
        <c:crosses val="autoZero"/>
        <c:auto val="1"/>
        <c:lblAlgn val="ctr"/>
        <c:lblOffset val="100"/>
        <c:noMultiLvlLbl val="0"/>
      </c:catAx>
      <c:valAx>
        <c:axId val="1568420255"/>
        <c:scaling>
          <c:orientation val="minMax"/>
        </c:scaling>
        <c:delete val="0"/>
        <c:axPos val="b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40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[covid_19_final_no_day_with_year_2020_2023.xlsx]Pivot!PivotTable11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Average Of Vaccination</a:t>
            </a:r>
          </a:p>
        </c:rich>
      </c:tx>
      <c:layout>
        <c:manualLayout>
          <c:xMode val="edge"/>
          <c:yMode val="edge"/>
          <c:x val="0.13499157245129068"/>
          <c:y val="6.8797806349687879E-2"/>
        </c:manualLayout>
      </c:layout>
      <c:overlay val="0"/>
      <c:spPr>
        <a:solidFill>
          <a:schemeClr val="bg1">
            <a:lumMod val="85000"/>
          </a:schemeClr>
        </a:solidFill>
        <a:ln>
          <a:noFill/>
        </a:ln>
        <a:effectLst>
          <a:glow rad="63500">
            <a:schemeClr val="accent5">
              <a:satMod val="175000"/>
              <a:alpha val="15000"/>
            </a:schemeClr>
          </a:glow>
          <a:outerShdw blurRad="50800" dist="38100" dir="5400000" algn="t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Pivot!$B$19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A7CB-4335-841F-E00CA56821F5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A7CB-4335-841F-E00CA56821F5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A7CB-4335-841F-E00CA56821F5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A7CB-4335-841F-E00CA56821F5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A7CB-4335-841F-E00CA56821F5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A7CB-4335-841F-E00CA56821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Pivot!$A$20:$A$26</c:f>
              <c:strCache>
                <c:ptCount val="6"/>
                <c:pt idx="0">
                  <c:v>1st</c:v>
                </c:pt>
                <c:pt idx="1">
                  <c:v>2nd</c:v>
                </c:pt>
                <c:pt idx="2">
                  <c:v>3rd</c:v>
                </c:pt>
                <c:pt idx="3">
                  <c:v>4th</c:v>
                </c:pt>
                <c:pt idx="4">
                  <c:v>5th</c:v>
                </c:pt>
                <c:pt idx="5">
                  <c:v>(blank)</c:v>
                </c:pt>
              </c:strCache>
            </c:strRef>
          </c:cat>
          <c:val>
            <c:numRef>
              <c:f>Pivot!$B$20:$B$26</c:f>
              <c:numCache>
                <c:formatCode>General</c:formatCode>
                <c:ptCount val="6"/>
                <c:pt idx="0">
                  <c:v>98.715000000000003</c:v>
                </c:pt>
                <c:pt idx="1">
                  <c:v>74.733888888888899</c:v>
                </c:pt>
                <c:pt idx="2">
                  <c:v>69.985777777777784</c:v>
                </c:pt>
                <c:pt idx="3">
                  <c:v>71.041492537313459</c:v>
                </c:pt>
                <c:pt idx="4">
                  <c:v>70.410769230769233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7CB-4335-841F-E00CA56821F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[covid_19_final_no_day_with_year_2020_2023.xlsx]Pivot!PivotTable12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Of Population</a:t>
            </a:r>
            <a:endParaRPr lang="en-US"/>
          </a:p>
        </c:rich>
      </c:tx>
      <c:layout>
        <c:manualLayout>
          <c:xMode val="edge"/>
          <c:yMode val="edge"/>
          <c:x val="0.26121466108421082"/>
          <c:y val="5.6465692275315449E-2"/>
        </c:manualLayout>
      </c:layout>
      <c:overlay val="0"/>
      <c:spPr>
        <a:solidFill>
          <a:schemeClr val="bg1">
            <a:lumMod val="85000"/>
          </a:schemeClr>
        </a:solidFill>
        <a:ln>
          <a:noFill/>
        </a:ln>
        <a:effectLst>
          <a:glow rad="63500">
            <a:schemeClr val="accent5">
              <a:satMod val="175000"/>
              <a:alpha val="21000"/>
            </a:schemeClr>
          </a:glow>
          <a:outerShdw blurRad="50800" dist="38100" dir="5400000" algn="t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Pivot!$E$11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Pivot!$D$12:$D$18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North-America</c:v>
                </c:pt>
                <c:pt idx="4">
                  <c:v>Oceania</c:v>
                </c:pt>
                <c:pt idx="5">
                  <c:v>South-America</c:v>
                </c:pt>
              </c:strCache>
            </c:strRef>
          </c:cat>
          <c:val>
            <c:numRef>
              <c:f>Pivot!$E$12:$E$18</c:f>
              <c:numCache>
                <c:formatCode>General</c:formatCode>
                <c:ptCount val="6"/>
                <c:pt idx="0">
                  <c:v>1424122159</c:v>
                </c:pt>
                <c:pt idx="1">
                  <c:v>4717154588</c:v>
                </c:pt>
                <c:pt idx="2">
                  <c:v>753341642</c:v>
                </c:pt>
                <c:pt idx="3">
                  <c:v>603938721</c:v>
                </c:pt>
                <c:pt idx="4">
                  <c:v>49268213</c:v>
                </c:pt>
                <c:pt idx="5">
                  <c:v>443492248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C1-481A-A980-432CC3994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7271983"/>
        <c:axId val="897272399"/>
      </c:lineChart>
      <c:catAx>
        <c:axId val="89727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272399"/>
        <c:crosses val="autoZero"/>
        <c:auto val="1"/>
        <c:lblAlgn val="ctr"/>
        <c:lblOffset val="100"/>
        <c:noMultiLvlLbl val="0"/>
      </c:catAx>
      <c:valAx>
        <c:axId val="89727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27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[covid_19_final_no_day_with_year_2020_2023.xlsx]Pivot!PivotTable13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Avtive</a:t>
            </a:r>
            <a:r>
              <a:rPr lang="en-US" baseline="0"/>
              <a:t> VS Death</a:t>
            </a:r>
            <a:endParaRPr lang="en-US"/>
          </a:p>
        </c:rich>
      </c:tx>
      <c:layout/>
      <c:overlay val="0"/>
      <c:spPr>
        <a:solidFill>
          <a:schemeClr val="bg1">
            <a:lumMod val="85000"/>
          </a:schemeClr>
        </a:solidFill>
        <a:ln>
          <a:noFill/>
        </a:ln>
        <a:effectLst>
          <a:glow rad="63500">
            <a:schemeClr val="accent1">
              <a:satMod val="175000"/>
              <a:alpha val="28000"/>
            </a:schemeClr>
          </a:glow>
          <a:outerShdw blurRad="50800" dist="38100" dir="5400000" algn="t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Pivot!$E$20</c:f>
              <c:strCache>
                <c:ptCount val="1"/>
                <c:pt idx="0">
                  <c:v>Sum of Active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Pivot!$D$21:$D$27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North-America</c:v>
                </c:pt>
                <c:pt idx="4">
                  <c:v>Oceania</c:v>
                </c:pt>
                <c:pt idx="5">
                  <c:v>South-America</c:v>
                </c:pt>
              </c:strCache>
            </c:strRef>
          </c:cat>
          <c:val>
            <c:numRef>
              <c:f>Pivot!$E$21:$E$27</c:f>
              <c:numCache>
                <c:formatCode>General</c:formatCode>
                <c:ptCount val="6"/>
                <c:pt idx="0">
                  <c:v>3015423</c:v>
                </c:pt>
                <c:pt idx="1">
                  <c:v>123126420</c:v>
                </c:pt>
                <c:pt idx="2">
                  <c:v>16492663</c:v>
                </c:pt>
                <c:pt idx="3">
                  <c:v>5083442</c:v>
                </c:pt>
                <c:pt idx="4">
                  <c:v>143999</c:v>
                </c:pt>
                <c:pt idx="5">
                  <c:v>4731689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91-42A5-8ED1-07CA9167B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8431071"/>
        <c:axId val="1568431487"/>
      </c:barChart>
      <c:lineChart>
        <c:grouping val="standard"/>
        <c:varyColors val="0"/>
        <c:ser>
          <c:idx val="1"/>
          <c:order val="1"/>
          <c:tx>
            <c:strRef>
              <c:f>Pivot!$F$20</c:f>
              <c:strCache>
                <c:ptCount val="1"/>
                <c:pt idx="0">
                  <c:v>Sum of Death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Pivot!$D$21:$D$27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North-America</c:v>
                </c:pt>
                <c:pt idx="4">
                  <c:v>Oceania</c:v>
                </c:pt>
                <c:pt idx="5">
                  <c:v>South-America</c:v>
                </c:pt>
              </c:strCache>
            </c:strRef>
          </c:cat>
          <c:val>
            <c:numRef>
              <c:f>Pivot!$F$21:$F$27</c:f>
              <c:numCache>
                <c:formatCode>General</c:formatCode>
                <c:ptCount val="6"/>
                <c:pt idx="0">
                  <c:v>255.20000000000002</c:v>
                </c:pt>
                <c:pt idx="1">
                  <c:v>68.699999999999989</c:v>
                </c:pt>
                <c:pt idx="2">
                  <c:v>8906.84</c:v>
                </c:pt>
                <c:pt idx="3">
                  <c:v>43.35</c:v>
                </c:pt>
                <c:pt idx="4">
                  <c:v>3462.19</c:v>
                </c:pt>
                <c:pt idx="5">
                  <c:v>159.85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91-42A5-8ED1-07CA9167B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8404863"/>
        <c:axId val="1568415263"/>
      </c:lineChart>
      <c:catAx>
        <c:axId val="156843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431487"/>
        <c:crosses val="autoZero"/>
        <c:auto val="1"/>
        <c:lblAlgn val="ctr"/>
        <c:lblOffset val="100"/>
        <c:noMultiLvlLbl val="0"/>
      </c:catAx>
      <c:valAx>
        <c:axId val="156843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431071"/>
        <c:crosses val="autoZero"/>
        <c:crossBetween val="between"/>
      </c:valAx>
      <c:valAx>
        <c:axId val="1568415263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404863"/>
        <c:crosses val="max"/>
        <c:crossBetween val="between"/>
      </c:valAx>
      <c:catAx>
        <c:axId val="15684048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684152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[covid_19_final_no_day_with_year_2020_2023.xlsx]Pivot!PivotTable14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</a:t>
            </a:r>
            <a:r>
              <a:rPr lang="en-US" baseline="0"/>
              <a:t> Of Country</a:t>
            </a:r>
            <a:endParaRPr lang="en-US"/>
          </a:p>
        </c:rich>
      </c:tx>
      <c:layout/>
      <c:overlay val="0"/>
      <c:spPr>
        <a:solidFill>
          <a:schemeClr val="bg1">
            <a:lumMod val="85000"/>
          </a:schemeClr>
        </a:solidFill>
        <a:ln>
          <a:noFill/>
        </a:ln>
        <a:effectLst>
          <a:glow rad="63500">
            <a:schemeClr val="accent1">
              <a:satMod val="175000"/>
              <a:alpha val="24000"/>
            </a:schemeClr>
          </a:glow>
          <a:outerShdw blurRad="50800" dist="25400" dir="5400000" algn="t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Pivot!$H$2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AD-40E5-AC3F-77C4CDD55D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AD-40E5-AC3F-77C4CDD55D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1AD-40E5-AC3F-77C4CDD55D5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1AD-40E5-AC3F-77C4CDD55D5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1AD-40E5-AC3F-77C4CDD55D5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1AD-40E5-AC3F-77C4CDD55D5A}"/>
              </c:ext>
            </c:extLst>
          </c:dPt>
          <c:cat>
            <c:strRef>
              <c:f>Pivot!$G$3:$G$9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North-America</c:v>
                </c:pt>
                <c:pt idx="4">
                  <c:v>Oceania</c:v>
                </c:pt>
                <c:pt idx="5">
                  <c:v>South-America</c:v>
                </c:pt>
              </c:strCache>
            </c:strRef>
          </c:cat>
          <c:val>
            <c:numRef>
              <c:f>Pivot!$H$3:$H$9</c:f>
              <c:numCache>
                <c:formatCode>General</c:formatCode>
                <c:ptCount val="6"/>
                <c:pt idx="0">
                  <c:v>61</c:v>
                </c:pt>
                <c:pt idx="1">
                  <c:v>51</c:v>
                </c:pt>
                <c:pt idx="2">
                  <c:v>49</c:v>
                </c:pt>
                <c:pt idx="3">
                  <c:v>40</c:v>
                </c:pt>
                <c:pt idx="4">
                  <c:v>21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1AD-40E5-AC3F-77C4CDD55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[covid_19_final_no_day_with_year_2020_2023.xlsx]Pivot!PivotTable8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Of Deaths</a:t>
            </a:r>
            <a:endParaRPr lang="en-US"/>
          </a:p>
        </c:rich>
      </c:tx>
      <c:layout/>
      <c:overlay val="0"/>
      <c:spPr>
        <a:solidFill>
          <a:schemeClr val="bg1">
            <a:lumMod val="85000"/>
          </a:schemeClr>
        </a:solidFill>
        <a:ln>
          <a:noFill/>
        </a:ln>
        <a:effectLst>
          <a:glow rad="63500">
            <a:schemeClr val="accent1">
              <a:satMod val="175000"/>
              <a:alpha val="26000"/>
            </a:schemeClr>
          </a:glow>
          <a:outerShdw blurRad="50800" dist="38100" dir="5400000" algn="t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Pivot!$A$13:$A$17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strCache>
            </c:strRef>
          </c:cat>
          <c:val>
            <c:numRef>
              <c:f>Pivot!$B$13:$B$17</c:f>
              <c:numCache>
                <c:formatCode>General</c:formatCode>
                <c:ptCount val="4"/>
                <c:pt idx="0">
                  <c:v>9420794</c:v>
                </c:pt>
                <c:pt idx="1">
                  <c:v>1767848</c:v>
                </c:pt>
                <c:pt idx="2">
                  <c:v>1596815</c:v>
                </c:pt>
                <c:pt idx="3">
                  <c:v>1248740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36-438F-99ED-C2AA21E3D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8418175"/>
        <c:axId val="1568418591"/>
      </c:barChart>
      <c:catAx>
        <c:axId val="156841817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418591"/>
        <c:crosses val="autoZero"/>
        <c:auto val="1"/>
        <c:lblAlgn val="ctr"/>
        <c:lblOffset val="100"/>
        <c:noMultiLvlLbl val="0"/>
      </c:catAx>
      <c:valAx>
        <c:axId val="156841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418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[covid_19_final_no_day_with_year_2020_2023.xlsx]Pivot!PivotTable7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Cases</a:t>
            </a:r>
          </a:p>
        </c:rich>
      </c:tx>
      <c:layout/>
      <c:overlay val="0"/>
      <c:spPr>
        <a:solidFill>
          <a:schemeClr val="bg1">
            <a:lumMod val="85000"/>
          </a:schemeClr>
        </a:solidFill>
        <a:ln>
          <a:noFill/>
        </a:ln>
        <a:effectLst>
          <a:glow rad="63500">
            <a:schemeClr val="accent1">
              <a:satMod val="175000"/>
              <a:alpha val="28000"/>
            </a:schemeClr>
          </a:glow>
          <a:outerShdw blurRad="50800" dist="38100" dir="5400000" algn="t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</c:pivotFmts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Pivot!$B$2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Pivot!$A$3:$A$9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North-America</c:v>
                </c:pt>
                <c:pt idx="4">
                  <c:v>Oceania</c:v>
                </c:pt>
                <c:pt idx="5">
                  <c:v>South-America</c:v>
                </c:pt>
              </c:strCache>
            </c:strRef>
          </c:cat>
          <c:val>
            <c:numRef>
              <c:f>Pivot!$B$3:$B$9</c:f>
              <c:numCache>
                <c:formatCode>General</c:formatCode>
                <c:ptCount val="6"/>
                <c:pt idx="0">
                  <c:v>25722569</c:v>
                </c:pt>
                <c:pt idx="1">
                  <c:v>443000530</c:v>
                </c:pt>
                <c:pt idx="2">
                  <c:v>506812396</c:v>
                </c:pt>
                <c:pt idx="3">
                  <c:v>263778264</c:v>
                </c:pt>
                <c:pt idx="4">
                  <c:v>29791542</c:v>
                </c:pt>
                <c:pt idx="5">
                  <c:v>140401758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34-45D1-A83B-A42A622CE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0"/>
        <c:shape val="box"/>
        <c:axId val="897281967"/>
        <c:axId val="897278223"/>
        <c:axId val="0"/>
      </c:bar3DChart>
      <c:catAx>
        <c:axId val="89728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278223"/>
        <c:crosses val="autoZero"/>
        <c:auto val="1"/>
        <c:lblAlgn val="ctr"/>
        <c:lblOffset val="100"/>
        <c:noMultiLvlLbl val="0"/>
      </c:catAx>
      <c:valAx>
        <c:axId val="897278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28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[covid_19_final_no_day_with_year_2020_2023.xlsx]Pivot!PivotTable9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Recovered</a:t>
            </a:r>
          </a:p>
        </c:rich>
      </c:tx>
      <c:layout>
        <c:manualLayout>
          <c:xMode val="edge"/>
          <c:yMode val="edge"/>
          <c:x val="0.12250783400821753"/>
          <c:y val="6.923079972723957E-2"/>
        </c:manualLayout>
      </c:layout>
      <c:overlay val="0"/>
      <c:spPr>
        <a:solidFill>
          <a:schemeClr val="bg1">
            <a:lumMod val="85000"/>
          </a:schemeClr>
        </a:solidFill>
        <a:ln>
          <a:noFill/>
        </a:ln>
        <a:effectLst>
          <a:glow rad="50800">
            <a:schemeClr val="accent1">
              <a:satMod val="175000"/>
              <a:alpha val="40000"/>
            </a:schemeClr>
          </a:glow>
          <a:outerShdw blurRad="50800" dist="38100" dir="5400000" algn="t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4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  <c:pivotFmt>
        <c:idx val="5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  <c:pivotFmt>
        <c:idx val="6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Pivot!$E$2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Pivot!$D$3:$D$7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strCache>
            </c:strRef>
          </c:cat>
          <c:val>
            <c:numRef>
              <c:f>Pivot!$E$3:$E$7</c:f>
              <c:numCache>
                <c:formatCode>General</c:formatCode>
                <c:ptCount val="4"/>
                <c:pt idx="0">
                  <c:v>893098109</c:v>
                </c:pt>
                <c:pt idx="1">
                  <c:v>79687140</c:v>
                </c:pt>
                <c:pt idx="2">
                  <c:v>166354055</c:v>
                </c:pt>
                <c:pt idx="3">
                  <c:v>108334451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D5-40C1-BC44-41BA01120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68407775"/>
        <c:axId val="1568420255"/>
        <c:axId val="0"/>
      </c:bar3DChart>
      <c:catAx>
        <c:axId val="1568407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420255"/>
        <c:crosses val="autoZero"/>
        <c:auto val="1"/>
        <c:lblAlgn val="ctr"/>
        <c:lblOffset val="100"/>
        <c:noMultiLvlLbl val="0"/>
      </c:catAx>
      <c:valAx>
        <c:axId val="1568420255"/>
        <c:scaling>
          <c:orientation val="minMax"/>
        </c:scaling>
        <c:delete val="0"/>
        <c:axPos val="b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40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[covid_19_final_no_day_with_year_2020_2023.xlsx]Pivot!PivotTable11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Average Of Vaccination</a:t>
            </a:r>
          </a:p>
        </c:rich>
      </c:tx>
      <c:layout>
        <c:manualLayout>
          <c:xMode val="edge"/>
          <c:yMode val="edge"/>
          <c:x val="0.13499157245129068"/>
          <c:y val="6.8797806349687879E-2"/>
        </c:manualLayout>
      </c:layout>
      <c:overlay val="0"/>
      <c:spPr>
        <a:solidFill>
          <a:schemeClr val="bg1">
            <a:lumMod val="85000"/>
          </a:schemeClr>
        </a:solidFill>
        <a:ln>
          <a:noFill/>
        </a:ln>
        <a:effectLst>
          <a:glow rad="63500">
            <a:schemeClr val="accent5">
              <a:satMod val="175000"/>
              <a:alpha val="15000"/>
            </a:schemeClr>
          </a:glow>
          <a:outerShdw blurRad="50800" dist="38100" dir="5400000" algn="t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Pivot!$B$19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C457-4768-967A-A695978434F0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C457-4768-967A-A695978434F0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C457-4768-967A-A695978434F0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C457-4768-967A-A695978434F0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C457-4768-967A-A695978434F0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C457-4768-967A-A695978434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Pivot!$A$20:$A$26</c:f>
              <c:strCache>
                <c:ptCount val="6"/>
                <c:pt idx="0">
                  <c:v>1st</c:v>
                </c:pt>
                <c:pt idx="1">
                  <c:v>2nd</c:v>
                </c:pt>
                <c:pt idx="2">
                  <c:v>3rd</c:v>
                </c:pt>
                <c:pt idx="3">
                  <c:v>4th</c:v>
                </c:pt>
                <c:pt idx="4">
                  <c:v>5th</c:v>
                </c:pt>
                <c:pt idx="5">
                  <c:v>(blank)</c:v>
                </c:pt>
              </c:strCache>
            </c:strRef>
          </c:cat>
          <c:val>
            <c:numRef>
              <c:f>Pivot!$B$20:$B$26</c:f>
              <c:numCache>
                <c:formatCode>General</c:formatCode>
                <c:ptCount val="6"/>
                <c:pt idx="0">
                  <c:v>98.715000000000003</c:v>
                </c:pt>
                <c:pt idx="1">
                  <c:v>74.733888888888899</c:v>
                </c:pt>
                <c:pt idx="2">
                  <c:v>69.985777777777784</c:v>
                </c:pt>
                <c:pt idx="3">
                  <c:v>71.041492537313459</c:v>
                </c:pt>
                <c:pt idx="4">
                  <c:v>70.410769230769233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457-4768-967A-A695978434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[covid_19_final_no_day_with_year_2020_2023.xlsx]Pivot!PivotTable12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Of Population</a:t>
            </a:r>
            <a:endParaRPr lang="en-US"/>
          </a:p>
        </c:rich>
      </c:tx>
      <c:layout>
        <c:manualLayout>
          <c:xMode val="edge"/>
          <c:yMode val="edge"/>
          <c:x val="0.26121466108421082"/>
          <c:y val="5.6465692275315449E-2"/>
        </c:manualLayout>
      </c:layout>
      <c:overlay val="0"/>
      <c:spPr>
        <a:solidFill>
          <a:schemeClr val="bg1">
            <a:lumMod val="85000"/>
          </a:schemeClr>
        </a:solidFill>
        <a:ln>
          <a:noFill/>
        </a:ln>
        <a:effectLst>
          <a:glow rad="63500">
            <a:schemeClr val="accent5">
              <a:satMod val="175000"/>
              <a:alpha val="21000"/>
            </a:schemeClr>
          </a:glow>
          <a:outerShdw blurRad="50800" dist="38100" dir="5400000" algn="t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Pivot!$E$11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Pivot!$D$12:$D$18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North-America</c:v>
                </c:pt>
                <c:pt idx="4">
                  <c:v>Oceania</c:v>
                </c:pt>
                <c:pt idx="5">
                  <c:v>South-America</c:v>
                </c:pt>
              </c:strCache>
            </c:strRef>
          </c:cat>
          <c:val>
            <c:numRef>
              <c:f>Pivot!$E$12:$E$18</c:f>
              <c:numCache>
                <c:formatCode>General</c:formatCode>
                <c:ptCount val="6"/>
                <c:pt idx="0">
                  <c:v>1424122159</c:v>
                </c:pt>
                <c:pt idx="1">
                  <c:v>4717154588</c:v>
                </c:pt>
                <c:pt idx="2">
                  <c:v>753341642</c:v>
                </c:pt>
                <c:pt idx="3">
                  <c:v>603938721</c:v>
                </c:pt>
                <c:pt idx="4">
                  <c:v>49268213</c:v>
                </c:pt>
                <c:pt idx="5">
                  <c:v>443492248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A6-452F-8562-0FE8C9E22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7271983"/>
        <c:axId val="897272399"/>
      </c:lineChart>
      <c:catAx>
        <c:axId val="89727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272399"/>
        <c:crosses val="autoZero"/>
        <c:auto val="1"/>
        <c:lblAlgn val="ctr"/>
        <c:lblOffset val="100"/>
        <c:noMultiLvlLbl val="0"/>
      </c:catAx>
      <c:valAx>
        <c:axId val="89727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27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[covid_19_final_no_day_with_year_2020_2023.xlsx]Pivot!PivotTable13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Avtive</a:t>
            </a:r>
            <a:r>
              <a:rPr lang="en-US" baseline="0"/>
              <a:t> VS Death</a:t>
            </a:r>
            <a:endParaRPr lang="en-US"/>
          </a:p>
        </c:rich>
      </c:tx>
      <c:layout/>
      <c:overlay val="0"/>
      <c:spPr>
        <a:solidFill>
          <a:schemeClr val="bg1">
            <a:lumMod val="85000"/>
          </a:schemeClr>
        </a:solidFill>
        <a:ln>
          <a:noFill/>
        </a:ln>
        <a:effectLst>
          <a:glow rad="63500">
            <a:schemeClr val="accent1">
              <a:satMod val="175000"/>
              <a:alpha val="28000"/>
            </a:schemeClr>
          </a:glow>
          <a:outerShdw blurRad="50800" dist="38100" dir="5400000" algn="t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Pivot!$E$20</c:f>
              <c:strCache>
                <c:ptCount val="1"/>
                <c:pt idx="0">
                  <c:v>Sum of Active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Pivot!$D$21:$D$27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North-America</c:v>
                </c:pt>
                <c:pt idx="4">
                  <c:v>Oceania</c:v>
                </c:pt>
                <c:pt idx="5">
                  <c:v>South-America</c:v>
                </c:pt>
              </c:strCache>
            </c:strRef>
          </c:cat>
          <c:val>
            <c:numRef>
              <c:f>Pivot!$E$21:$E$27</c:f>
              <c:numCache>
                <c:formatCode>General</c:formatCode>
                <c:ptCount val="6"/>
                <c:pt idx="0">
                  <c:v>3015423</c:v>
                </c:pt>
                <c:pt idx="1">
                  <c:v>123126420</c:v>
                </c:pt>
                <c:pt idx="2">
                  <c:v>16492663</c:v>
                </c:pt>
                <c:pt idx="3">
                  <c:v>5083442</c:v>
                </c:pt>
                <c:pt idx="4">
                  <c:v>143999</c:v>
                </c:pt>
                <c:pt idx="5">
                  <c:v>4731689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A2-4EB4-8482-7D256E5B2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8431071"/>
        <c:axId val="1568431487"/>
      </c:barChart>
      <c:lineChart>
        <c:grouping val="standard"/>
        <c:varyColors val="0"/>
        <c:ser>
          <c:idx val="1"/>
          <c:order val="1"/>
          <c:tx>
            <c:strRef>
              <c:f>Pivot!$F$20</c:f>
              <c:strCache>
                <c:ptCount val="1"/>
                <c:pt idx="0">
                  <c:v>Sum of Death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Pivot!$D$21:$D$27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North-America</c:v>
                </c:pt>
                <c:pt idx="4">
                  <c:v>Oceania</c:v>
                </c:pt>
                <c:pt idx="5">
                  <c:v>South-America</c:v>
                </c:pt>
              </c:strCache>
            </c:strRef>
          </c:cat>
          <c:val>
            <c:numRef>
              <c:f>Pivot!$F$21:$F$27</c:f>
              <c:numCache>
                <c:formatCode>General</c:formatCode>
                <c:ptCount val="6"/>
                <c:pt idx="0">
                  <c:v>255.20000000000002</c:v>
                </c:pt>
                <c:pt idx="1">
                  <c:v>68.699999999999989</c:v>
                </c:pt>
                <c:pt idx="2">
                  <c:v>8906.84</c:v>
                </c:pt>
                <c:pt idx="3">
                  <c:v>43.35</c:v>
                </c:pt>
                <c:pt idx="4">
                  <c:v>3462.19</c:v>
                </c:pt>
                <c:pt idx="5">
                  <c:v>159.85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A2-4EB4-8482-7D256E5B2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8404863"/>
        <c:axId val="1568415263"/>
      </c:lineChart>
      <c:catAx>
        <c:axId val="156843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431487"/>
        <c:crosses val="autoZero"/>
        <c:auto val="1"/>
        <c:lblAlgn val="ctr"/>
        <c:lblOffset val="100"/>
        <c:noMultiLvlLbl val="0"/>
      </c:catAx>
      <c:valAx>
        <c:axId val="156843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431071"/>
        <c:crosses val="autoZero"/>
        <c:crossBetween val="between"/>
      </c:valAx>
      <c:valAx>
        <c:axId val="1568415263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404863"/>
        <c:crosses val="max"/>
        <c:crossBetween val="between"/>
      </c:valAx>
      <c:catAx>
        <c:axId val="15684048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684152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[covid_19_final_no_day_with_year_2020_2023.xlsx]Pivot!PivotTable7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Cases</a:t>
            </a:r>
          </a:p>
        </c:rich>
      </c:tx>
      <c:layout/>
      <c:overlay val="0"/>
      <c:spPr>
        <a:solidFill>
          <a:schemeClr val="bg1">
            <a:lumMod val="85000"/>
          </a:schemeClr>
        </a:solidFill>
        <a:ln>
          <a:noFill/>
        </a:ln>
        <a:effectLst>
          <a:glow rad="63500">
            <a:schemeClr val="accent1">
              <a:satMod val="175000"/>
              <a:alpha val="28000"/>
            </a:schemeClr>
          </a:glow>
          <a:outerShdw blurRad="50800" dist="38100" dir="5400000" algn="t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  <c:pivotFmt>
        <c:idx val="6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  <c:pivotFmt>
        <c:idx val="7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</c:pivotFmts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Pivot!$B$2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Pivot!$A$3:$A$9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North-America</c:v>
                </c:pt>
                <c:pt idx="4">
                  <c:v>Oceania</c:v>
                </c:pt>
                <c:pt idx="5">
                  <c:v>South-America</c:v>
                </c:pt>
              </c:strCache>
            </c:strRef>
          </c:cat>
          <c:val>
            <c:numRef>
              <c:f>Pivot!$B$3:$B$9</c:f>
              <c:numCache>
                <c:formatCode>General</c:formatCode>
                <c:ptCount val="6"/>
                <c:pt idx="0">
                  <c:v>25722569</c:v>
                </c:pt>
                <c:pt idx="1">
                  <c:v>443000530</c:v>
                </c:pt>
                <c:pt idx="2">
                  <c:v>506812396</c:v>
                </c:pt>
                <c:pt idx="3">
                  <c:v>263778264</c:v>
                </c:pt>
                <c:pt idx="4">
                  <c:v>29791542</c:v>
                </c:pt>
                <c:pt idx="5">
                  <c:v>140401758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8A-42AC-A8CA-4954C07A0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0"/>
        <c:shape val="box"/>
        <c:axId val="897281967"/>
        <c:axId val="897278223"/>
        <c:axId val="0"/>
      </c:bar3DChart>
      <c:catAx>
        <c:axId val="89728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278223"/>
        <c:crosses val="autoZero"/>
        <c:auto val="1"/>
        <c:lblAlgn val="ctr"/>
        <c:lblOffset val="100"/>
        <c:noMultiLvlLbl val="0"/>
      </c:catAx>
      <c:valAx>
        <c:axId val="897278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28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[covid_19_final_no_day_with_year_2020_2023.xlsx]Pivot!PivotTable14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</a:t>
            </a:r>
            <a:r>
              <a:rPr lang="en-US" baseline="0"/>
              <a:t> Of Country</a:t>
            </a:r>
            <a:endParaRPr lang="en-US"/>
          </a:p>
        </c:rich>
      </c:tx>
      <c:layout/>
      <c:overlay val="0"/>
      <c:spPr>
        <a:solidFill>
          <a:schemeClr val="bg1">
            <a:lumMod val="85000"/>
          </a:schemeClr>
        </a:solidFill>
        <a:ln>
          <a:noFill/>
        </a:ln>
        <a:effectLst>
          <a:glow rad="63500">
            <a:schemeClr val="accent1">
              <a:satMod val="175000"/>
              <a:alpha val="24000"/>
            </a:schemeClr>
          </a:glow>
          <a:outerShdw blurRad="50800" dist="25400" dir="5400000" algn="t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Pivot!$H$2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11-4CE7-876B-422A25777B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11-4CE7-876B-422A25777B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311-4CE7-876B-422A25777BC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311-4CE7-876B-422A25777BC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311-4CE7-876B-422A25777BC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311-4CE7-876B-422A25777BC7}"/>
              </c:ext>
            </c:extLst>
          </c:dPt>
          <c:cat>
            <c:strRef>
              <c:f>Pivot!$G$3:$G$9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North-America</c:v>
                </c:pt>
                <c:pt idx="4">
                  <c:v>Oceania</c:v>
                </c:pt>
                <c:pt idx="5">
                  <c:v>South-America</c:v>
                </c:pt>
              </c:strCache>
            </c:strRef>
          </c:cat>
          <c:val>
            <c:numRef>
              <c:f>Pivot!$H$3:$H$9</c:f>
              <c:numCache>
                <c:formatCode>General</c:formatCode>
                <c:ptCount val="6"/>
                <c:pt idx="0">
                  <c:v>61</c:v>
                </c:pt>
                <c:pt idx="1">
                  <c:v>51</c:v>
                </c:pt>
                <c:pt idx="2">
                  <c:v>49</c:v>
                </c:pt>
                <c:pt idx="3">
                  <c:v>40</c:v>
                </c:pt>
                <c:pt idx="4">
                  <c:v>21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311-4CE7-876B-422A25777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[covid_19_final_no_day_with_year_2020_2023.xlsx]Pivot!PivotTable8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Of Deaths</a:t>
            </a:r>
            <a:endParaRPr lang="en-US"/>
          </a:p>
        </c:rich>
      </c:tx>
      <c:layout/>
      <c:overlay val="0"/>
      <c:spPr>
        <a:solidFill>
          <a:schemeClr val="bg1">
            <a:lumMod val="85000"/>
          </a:schemeClr>
        </a:solidFill>
        <a:ln>
          <a:noFill/>
        </a:ln>
        <a:effectLst>
          <a:glow rad="63500">
            <a:schemeClr val="accent1">
              <a:satMod val="175000"/>
              <a:alpha val="26000"/>
            </a:schemeClr>
          </a:glow>
          <a:outerShdw blurRad="50800" dist="38100" dir="5400000" algn="t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Pivot!$A$13:$A$17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strCache>
            </c:strRef>
          </c:cat>
          <c:val>
            <c:numRef>
              <c:f>Pivot!$B$13:$B$17</c:f>
              <c:numCache>
                <c:formatCode>General</c:formatCode>
                <c:ptCount val="4"/>
                <c:pt idx="0">
                  <c:v>9420794</c:v>
                </c:pt>
                <c:pt idx="1">
                  <c:v>1767848</c:v>
                </c:pt>
                <c:pt idx="2">
                  <c:v>1596815</c:v>
                </c:pt>
                <c:pt idx="3">
                  <c:v>1248740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7D-43DB-9096-E75FB73F0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8418175"/>
        <c:axId val="1568418591"/>
      </c:barChart>
      <c:catAx>
        <c:axId val="1568418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418591"/>
        <c:crosses val="autoZero"/>
        <c:auto val="1"/>
        <c:lblAlgn val="ctr"/>
        <c:lblOffset val="100"/>
        <c:noMultiLvlLbl val="0"/>
      </c:catAx>
      <c:valAx>
        <c:axId val="156841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418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jp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emf"/><Relationship Id="rId13" Type="http://schemas.openxmlformats.org/officeDocument/2006/relationships/chart" Target="../charts/chart11.xml"/><Relationship Id="rId3" Type="http://schemas.openxmlformats.org/officeDocument/2006/relationships/image" Target="../media/image4.emf"/><Relationship Id="rId7" Type="http://schemas.openxmlformats.org/officeDocument/2006/relationships/image" Target="../media/image8.emf"/><Relationship Id="rId12" Type="http://schemas.openxmlformats.org/officeDocument/2006/relationships/chart" Target="../charts/chart10.xml"/><Relationship Id="rId2" Type="http://schemas.openxmlformats.org/officeDocument/2006/relationships/image" Target="../media/image3.emf"/><Relationship Id="rId16" Type="http://schemas.openxmlformats.org/officeDocument/2006/relationships/chart" Target="../charts/chart14.xml"/><Relationship Id="rId1" Type="http://schemas.openxmlformats.org/officeDocument/2006/relationships/image" Target="../media/image2.jpg"/><Relationship Id="rId6" Type="http://schemas.openxmlformats.org/officeDocument/2006/relationships/image" Target="../media/image7.emf"/><Relationship Id="rId11" Type="http://schemas.openxmlformats.org/officeDocument/2006/relationships/chart" Target="../charts/chart9.xml"/><Relationship Id="rId5" Type="http://schemas.openxmlformats.org/officeDocument/2006/relationships/image" Target="../media/image6.emf"/><Relationship Id="rId15" Type="http://schemas.openxmlformats.org/officeDocument/2006/relationships/chart" Target="../charts/chart13.xml"/><Relationship Id="rId10" Type="http://schemas.openxmlformats.org/officeDocument/2006/relationships/chart" Target="../charts/chart8.xml"/><Relationship Id="rId4" Type="http://schemas.openxmlformats.org/officeDocument/2006/relationships/image" Target="../media/image5.emf"/><Relationship Id="rId9" Type="http://schemas.openxmlformats.org/officeDocument/2006/relationships/image" Target="../media/image10.emf"/><Relationship Id="rId1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400050</xdr:colOff>
      <xdr:row>2</xdr:row>
      <xdr:rowOff>50801</xdr:rowOff>
    </xdr:from>
    <xdr:to>
      <xdr:col>5</xdr:col>
      <xdr:colOff>419100</xdr:colOff>
      <xdr:row>5</xdr:row>
      <xdr:rowOff>129807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234951"/>
          <a:ext cx="628650" cy="631456"/>
        </a:xfrm>
        <a:prstGeom prst="rect">
          <a:avLst/>
        </a:prstGeom>
      </xdr:spPr>
    </xdr:pic>
    <xdr:clientData/>
  </xdr:twoCellAnchor>
  <xdr:twoCellAnchor editAs="oneCell">
    <xdr:from>
      <xdr:col>15</xdr:col>
      <xdr:colOff>412750</xdr:colOff>
      <xdr:row>2</xdr:row>
      <xdr:rowOff>69850</xdr:rowOff>
    </xdr:from>
    <xdr:to>
      <xdr:col>16</xdr:col>
      <xdr:colOff>431801</xdr:colOff>
      <xdr:row>5</xdr:row>
      <xdr:rowOff>148856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7150" y="254000"/>
          <a:ext cx="628650" cy="631456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9</xdr:row>
      <xdr:rowOff>0</xdr:rowOff>
    </xdr:from>
    <xdr:to>
      <xdr:col>18</xdr:col>
      <xdr:colOff>600075</xdr:colOff>
      <xdr:row>20</xdr:row>
      <xdr:rowOff>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23</xdr:row>
      <xdr:rowOff>1</xdr:rowOff>
    </xdr:from>
    <xdr:to>
      <xdr:col>6</xdr:col>
      <xdr:colOff>596900</xdr:colOff>
      <xdr:row>34</xdr:row>
      <xdr:rowOff>12700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42335</xdr:colOff>
      <xdr:row>23</xdr:row>
      <xdr:rowOff>1</xdr:rowOff>
    </xdr:from>
    <xdr:to>
      <xdr:col>13</xdr:col>
      <xdr:colOff>48685</xdr:colOff>
      <xdr:row>34</xdr:row>
      <xdr:rowOff>6350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</xdr:colOff>
      <xdr:row>23</xdr:row>
      <xdr:rowOff>1</xdr:rowOff>
    </xdr:from>
    <xdr:to>
      <xdr:col>18</xdr:col>
      <xdr:colOff>596901</xdr:colOff>
      <xdr:row>33</xdr:row>
      <xdr:rowOff>171451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590550</xdr:colOff>
      <xdr:row>36</xdr:row>
      <xdr:rowOff>153106</xdr:rowOff>
    </xdr:from>
    <xdr:to>
      <xdr:col>12</xdr:col>
      <xdr:colOff>603250</xdr:colOff>
      <xdr:row>47</xdr:row>
      <xdr:rowOff>176389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0</xdr:colOff>
      <xdr:row>37</xdr:row>
      <xdr:rowOff>0</xdr:rowOff>
    </xdr:from>
    <xdr:to>
      <xdr:col>19</xdr:col>
      <xdr:colOff>19050</xdr:colOff>
      <xdr:row>48</xdr:row>
      <xdr:rowOff>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0</xdr:colOff>
      <xdr:row>37</xdr:row>
      <xdr:rowOff>0</xdr:rowOff>
    </xdr:from>
    <xdr:to>
      <xdr:col>7</xdr:col>
      <xdr:colOff>0</xdr:colOff>
      <xdr:row>47</xdr:row>
      <xdr:rowOff>177800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</xdr:colOff>
      <xdr:row>2</xdr:row>
      <xdr:rowOff>7937</xdr:rowOff>
    </xdr:from>
    <xdr:to>
      <xdr:col>19</xdr:col>
      <xdr:colOff>18142</xdr:colOff>
      <xdr:row>51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723" y="370794"/>
          <a:ext cx="10950348" cy="8882063"/>
        </a:xfrm>
        <a:prstGeom prst="rect">
          <a:avLst/>
        </a:prstGeom>
      </xdr:spPr>
    </xdr:pic>
    <xdr:clientData/>
  </xdr:twoCellAnchor>
  <xdr:twoCellAnchor editAs="oneCell">
    <xdr:from>
      <xdr:col>3</xdr:col>
      <xdr:colOff>365140</xdr:colOff>
      <xdr:row>2</xdr:row>
      <xdr:rowOff>171450</xdr:rowOff>
    </xdr:from>
    <xdr:to>
      <xdr:col>16</xdr:col>
      <xdr:colOff>371489</xdr:colOff>
      <xdr:row>6</xdr:row>
      <xdr:rowOff>177800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8497" y="534307"/>
          <a:ext cx="7907563" cy="732064"/>
        </a:xfrm>
        <a:prstGeom prst="rect">
          <a:avLst/>
        </a:prstGeom>
        <a:noFill/>
        <a:scene3d>
          <a:camera prst="orthographicFront"/>
          <a:lightRig rig="threePt" dir="t"/>
        </a:scene3d>
        <a:sp3d>
          <a:bevelT w="101600" prst="riblet"/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531812</xdr:colOff>
      <xdr:row>10</xdr:row>
      <xdr:rowOff>87312</xdr:rowOff>
    </xdr:from>
    <xdr:to>
      <xdr:col>3</xdr:col>
      <xdr:colOff>538162</xdr:colOff>
      <xdr:row>14</xdr:row>
      <xdr:rowOff>93662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912937"/>
          <a:ext cx="1228725" cy="736600"/>
        </a:xfrm>
        <a:prstGeom prst="rect">
          <a:avLst/>
        </a:prstGeom>
        <a:noFill/>
        <a:scene3d>
          <a:camera prst="orthographicFront"/>
          <a:lightRig rig="threePt" dir="t"/>
        </a:scene3d>
        <a:sp3d>
          <a:bevelT w="165100" prst="coolSlant"/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388938</xdr:colOff>
      <xdr:row>10</xdr:row>
      <xdr:rowOff>63500</xdr:rowOff>
    </xdr:from>
    <xdr:to>
      <xdr:col>6</xdr:col>
      <xdr:colOff>395288</xdr:colOff>
      <xdr:row>14</xdr:row>
      <xdr:rowOff>69850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3688" y="1889125"/>
          <a:ext cx="1228725" cy="736600"/>
        </a:xfrm>
        <a:prstGeom prst="rect">
          <a:avLst/>
        </a:prstGeom>
        <a:noFill/>
        <a:scene3d>
          <a:camera prst="orthographicFront"/>
          <a:lightRig rig="threePt" dir="t"/>
        </a:scene3d>
        <a:sp3d>
          <a:bevelT w="165100" prst="coolSlant"/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166687</xdr:colOff>
      <xdr:row>10</xdr:row>
      <xdr:rowOff>39688</xdr:rowOff>
    </xdr:from>
    <xdr:to>
      <xdr:col>9</xdr:col>
      <xdr:colOff>173037</xdr:colOff>
      <xdr:row>14</xdr:row>
      <xdr:rowOff>46038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0" y="1865313"/>
          <a:ext cx="1228725" cy="736600"/>
        </a:xfrm>
        <a:prstGeom prst="rect">
          <a:avLst/>
        </a:prstGeom>
        <a:noFill/>
        <a:scene3d>
          <a:camera prst="orthographicFront"/>
          <a:lightRig rig="threePt" dir="t"/>
        </a:scene3d>
        <a:sp3d>
          <a:bevelT w="165100" prst="coolSlant"/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484187</xdr:colOff>
      <xdr:row>10</xdr:row>
      <xdr:rowOff>31750</xdr:rowOff>
    </xdr:from>
    <xdr:to>
      <xdr:col>11</xdr:col>
      <xdr:colOff>490537</xdr:colOff>
      <xdr:row>14</xdr:row>
      <xdr:rowOff>38100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4875" y="1857375"/>
          <a:ext cx="1228725" cy="736600"/>
        </a:xfrm>
        <a:prstGeom prst="rect">
          <a:avLst/>
        </a:prstGeom>
        <a:noFill/>
        <a:scene3d>
          <a:camera prst="orthographicFront"/>
          <a:lightRig rig="threePt" dir="t"/>
        </a:scene3d>
        <a:sp3d>
          <a:bevelT w="165100" prst="coolSlant"/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523875</xdr:colOff>
      <xdr:row>16</xdr:row>
      <xdr:rowOff>142875</xdr:rowOff>
    </xdr:from>
    <xdr:to>
      <xdr:col>3</xdr:col>
      <xdr:colOff>530225</xdr:colOff>
      <xdr:row>20</xdr:row>
      <xdr:rowOff>149225</xdr:rowOff>
    </xdr:to>
    <xdr:pic>
      <xdr:nvPicPr>
        <xdr:cNvPr id="8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063" y="3063875"/>
          <a:ext cx="1228725" cy="736600"/>
        </a:xfrm>
        <a:prstGeom prst="rect">
          <a:avLst/>
        </a:prstGeom>
        <a:noFill/>
        <a:scene3d>
          <a:camera prst="orthographicFront"/>
          <a:lightRig rig="threePt" dir="t"/>
        </a:scene3d>
        <a:sp3d>
          <a:bevelT w="165100" prst="coolSlant"/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381000</xdr:colOff>
      <xdr:row>16</xdr:row>
      <xdr:rowOff>158750</xdr:rowOff>
    </xdr:from>
    <xdr:to>
      <xdr:col>6</xdr:col>
      <xdr:colOff>387350</xdr:colOff>
      <xdr:row>20</xdr:row>
      <xdr:rowOff>165100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5750" y="3079750"/>
          <a:ext cx="1228725" cy="736600"/>
        </a:xfrm>
        <a:prstGeom prst="rect">
          <a:avLst/>
        </a:prstGeom>
        <a:noFill/>
        <a:scene3d>
          <a:camera prst="orthographicFront"/>
          <a:lightRig rig="threePt" dir="t"/>
        </a:scene3d>
        <a:sp3d>
          <a:bevelT w="165100" prst="coolSlant"/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206374</xdr:colOff>
      <xdr:row>16</xdr:row>
      <xdr:rowOff>150812</xdr:rowOff>
    </xdr:from>
    <xdr:to>
      <xdr:col>9</xdr:col>
      <xdr:colOff>212724</xdr:colOff>
      <xdr:row>20</xdr:row>
      <xdr:rowOff>157162</xdr:rowOff>
    </xdr:to>
    <xdr:pic>
      <xdr:nvPicPr>
        <xdr:cNvPr id="1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4687" y="3071812"/>
          <a:ext cx="1228725" cy="736600"/>
        </a:xfrm>
        <a:prstGeom prst="rect">
          <a:avLst/>
        </a:prstGeom>
        <a:noFill/>
        <a:scene3d>
          <a:camera prst="orthographicFront"/>
          <a:lightRig rig="threePt" dir="t"/>
        </a:scene3d>
        <a:sp3d>
          <a:bevelT w="165100" prst="coolSlant"/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6350</xdr:colOff>
      <xdr:row>10</xdr:row>
      <xdr:rowOff>39688</xdr:rowOff>
    </xdr:from>
    <xdr:to>
      <xdr:col>17</xdr:col>
      <xdr:colOff>588786</xdr:colOff>
      <xdr:row>21</xdr:row>
      <xdr:rowOff>49388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514350</xdr:colOff>
      <xdr:row>23</xdr:row>
      <xdr:rowOff>47624</xdr:rowOff>
    </xdr:from>
    <xdr:to>
      <xdr:col>6</xdr:col>
      <xdr:colOff>482424</xdr:colOff>
      <xdr:row>34</xdr:row>
      <xdr:rowOff>70025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196850</xdr:colOff>
      <xdr:row>23</xdr:row>
      <xdr:rowOff>39686</xdr:rowOff>
    </xdr:from>
    <xdr:to>
      <xdr:col>12</xdr:col>
      <xdr:colOff>181152</xdr:colOff>
      <xdr:row>34</xdr:row>
      <xdr:rowOff>55737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6350</xdr:colOff>
      <xdr:row>23</xdr:row>
      <xdr:rowOff>23812</xdr:rowOff>
    </xdr:from>
    <xdr:to>
      <xdr:col>17</xdr:col>
      <xdr:colOff>585611</xdr:colOff>
      <xdr:row>34</xdr:row>
      <xdr:rowOff>21519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507999</xdr:colOff>
      <xdr:row>36</xdr:row>
      <xdr:rowOff>55562</xdr:rowOff>
    </xdr:from>
    <xdr:to>
      <xdr:col>6</xdr:col>
      <xdr:colOff>485950</xdr:colOff>
      <xdr:row>47</xdr:row>
      <xdr:rowOff>59618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</xdr:col>
      <xdr:colOff>185208</xdr:colOff>
      <xdr:row>36</xdr:row>
      <xdr:rowOff>76729</xdr:rowOff>
    </xdr:from>
    <xdr:to>
      <xdr:col>12</xdr:col>
      <xdr:colOff>175860</xdr:colOff>
      <xdr:row>47</xdr:row>
      <xdr:rowOff>109712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13</xdr:col>
      <xdr:colOff>-1</xdr:colOff>
      <xdr:row>36</xdr:row>
      <xdr:rowOff>79374</xdr:rowOff>
    </xdr:from>
    <xdr:to>
      <xdr:col>17</xdr:col>
      <xdr:colOff>608188</xdr:colOff>
      <xdr:row>47</xdr:row>
      <xdr:rowOff>89075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A" refreshedDate="46121.504789120372" createdVersion="6" refreshedVersion="6" minRefreshableVersion="3" recordCount="238">
  <cacheSource type="worksheet">
    <worksheetSource ref="A1:M238" sheet="Table"/>
  </cacheSource>
  <cacheFields count="13">
    <cacheField name="country" numFmtId="0">
      <sharedItems/>
    </cacheField>
    <cacheField name="continent" numFmtId="0">
      <sharedItems count="7">
        <s v="Asia"/>
        <s v="Africa"/>
        <s v="Europe"/>
        <s v="All"/>
        <s v="North-America"/>
        <s v="South-America"/>
        <s v="Oceania"/>
      </sharedItems>
    </cacheField>
    <cacheField name="population" numFmtId="0">
      <sharedItems containsSemiMixedTypes="0" containsString="0" containsNumber="1" containsInteger="1" minValue="799" maxValue="1448471400"/>
    </cacheField>
    <cacheField name="Year" numFmtId="0">
      <sharedItems containsSemiMixedTypes="0" containsString="0" containsNumber="1" containsInteger="1" minValue="2020" maxValue="2023"/>
    </cacheField>
    <cacheField name="Cases" numFmtId="0">
      <sharedItems containsSemiMixedTypes="0" containsString="0" containsNumber="1" containsInteger="1" minValue="9" maxValue="704753890"/>
    </cacheField>
    <cacheField name="Recovered" numFmtId="0">
      <sharedItems containsSemiMixedTypes="0" containsString="0" containsNumber="1" minValue="2" maxValue="675619811"/>
    </cacheField>
    <cacheField name="Deaths" numFmtId="0">
      <sharedItems containsSemiMixedTypes="0" containsString="0" containsNumber="1" containsInteger="1" minValue="1" maxValue="7010681"/>
    </cacheField>
    <cacheField name="Active" numFmtId="0">
      <sharedItems containsSemiMixedTypes="0" containsString="0" containsNumber="1" containsInteger="1" minValue="0" maxValue="44266678"/>
    </cacheField>
    <cacheField name="Vaccinated" numFmtId="0">
      <sharedItems containsSemiMixedTypes="0" containsString="0" containsNumber="1" containsInteger="1" minValue="561" maxValue="1117553948"/>
    </cacheField>
    <cacheField name="Recovery %" numFmtId="0">
      <sharedItems containsSemiMixedTypes="0" containsString="0" containsNumber="1" minValue="0.09" maxValue="293931.88"/>
    </cacheField>
    <cacheField name="Death %" numFmtId="0">
      <sharedItems containsSemiMixedTypes="0" containsString="0" containsNumber="1" minValue="0" maxValue="8862.07"/>
    </cacheField>
    <cacheField name="Vaccination %" numFmtId="0">
      <sharedItems containsSemiMixedTypes="0" containsString="0" containsNumber="1" minValue="46.51" maxValue="100"/>
    </cacheField>
    <cacheField name="Tests" numFmtId="0">
      <sharedItems containsSemiMixedTypes="0" containsString="0" containsNumber="1" containsInteger="1" minValue="7850" maxValue="11868515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ENOVA" refreshedDate="46121.518654050924" createdVersion="6" refreshedVersion="6" minRefreshableVersion="3" recordCount="237">
  <cacheSource type="worksheet">
    <worksheetSource ref="A1:N238" sheet="Table"/>
  </cacheSource>
  <cacheFields count="14">
    <cacheField name="country" numFmtId="0">
      <sharedItems count="237">
        <s v="Afghanistan"/>
        <s v="Africa"/>
        <s v="Albania"/>
        <s v="Algeria"/>
        <s v="Andorra"/>
        <s v="Angola"/>
        <s v="Anguilla"/>
        <s v="Antigua-and-Barbuda"/>
        <s v="Argentina"/>
        <s v="Armenia"/>
        <s v="Aruba"/>
        <s v="Asi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ermuda"/>
        <s v="Bhutan"/>
        <s v="Bolivia"/>
        <s v="Bosnia-and-Herzegovina"/>
        <s v="Botswana"/>
        <s v="Brazil"/>
        <s v="British-Virgin-Islands"/>
        <s v="Brunei"/>
        <s v="Bulgaria"/>
        <s v="Burkina-Faso"/>
        <s v="Burundi"/>
        <s v="CAR"/>
        <s v="Cabo-Verde"/>
        <s v="Cambodia"/>
        <s v="Cameroon"/>
        <s v="Canada"/>
        <s v="Caribbean-Netherlands"/>
        <s v="Cayman-Islands"/>
        <s v="Chad"/>
        <s v="Channel-Islands"/>
        <s v="Chile"/>
        <s v="China"/>
        <s v="Colombia"/>
        <s v="Comoros"/>
        <s v="Congo"/>
        <s v="Cook-Islands"/>
        <s v="Costa-Rica"/>
        <s v="Croatia"/>
        <s v="Cuba"/>
        <s v="Cura&amp;ccedil;ao"/>
        <s v="Cyprus"/>
        <s v="Czechia"/>
        <s v="DPRK"/>
        <s v="DRC"/>
        <s v="Denmark"/>
        <s v="Diamond-Princess"/>
        <s v="Djibouti"/>
        <s v="Dominica"/>
        <s v="Dominican-Republic"/>
        <s v="Ecuador"/>
        <s v="Egypt"/>
        <s v="El-Salvador"/>
        <s v="Equatorial-Guinea"/>
        <s v="Eritrea"/>
        <s v="Estonia"/>
        <s v="Eswatini"/>
        <s v="Ethiopia"/>
        <s v="Europe"/>
        <s v="Faeroe-Islands"/>
        <s v="Falkland-Islands"/>
        <s v="Fiji"/>
        <s v="Finland"/>
        <s v="France"/>
        <s v="French-Guiana"/>
        <s v="French-Polynesia"/>
        <s v="Gabon"/>
        <s v="Gambia"/>
        <s v="Georgia"/>
        <s v="Germany"/>
        <s v="Ghana"/>
        <s v="Gibraltar"/>
        <s v="Greece"/>
        <s v="Greenland"/>
        <s v="Grenada"/>
        <s v="Guadeloupe"/>
        <s v="Guatemala"/>
        <s v="Guinea"/>
        <s v="Guinea-Bissau"/>
        <s v="Guyana"/>
        <s v="Haiti"/>
        <s v="Honduras"/>
        <s v="Hong-Kong"/>
        <s v="Hungary"/>
        <s v="Iceland"/>
        <s v="India"/>
        <s v="Indonesia"/>
        <s v="Iran"/>
        <s v="Iraq"/>
        <s v="Ireland"/>
        <s v="Isle-of-Man"/>
        <s v="Israel"/>
        <s v="Italy"/>
        <s v="Ivory-Coast"/>
        <s v="Jamaica"/>
        <s v="Japan"/>
        <s v="Jordan"/>
        <s v="Kazakhstan"/>
        <s v="Kenya"/>
        <s v="Kiribati"/>
        <s v="Kuwait"/>
        <s v="Kyrgyzstan"/>
        <s v="Laos"/>
        <s v="Latvia"/>
        <s v="Lebanon"/>
        <s v="Lesotho"/>
        <s v="Liberia"/>
        <s v="Libya"/>
        <s v="Liechtenstein"/>
        <s v="Lithuania"/>
        <s v="Luxembourg"/>
        <s v="MS-Zaandam"/>
        <s v="Macao"/>
        <s v="Madagascar"/>
        <s v="Malawi"/>
        <s v="Malaysia"/>
        <s v="Maldives"/>
        <s v="Mali"/>
        <s v="Malta"/>
        <s v="Marshall-Islands"/>
        <s v="Martinique"/>
        <s v="Mauritania"/>
        <s v="Mauritius"/>
        <s v="Mayotte"/>
        <s v="Mexico"/>
        <s v="Micronesia"/>
        <s v="Moldova"/>
        <s v="Monaco"/>
        <s v="Mongolia"/>
        <s v="Montenegro"/>
        <s v="Montserrat"/>
        <s v="Morocco"/>
        <s v="Mozambique"/>
        <s v="Myanmar"/>
        <s v="Namibia"/>
        <s v="Nauru"/>
        <s v="Nepal"/>
        <s v="Netherlands"/>
        <s v="New-Caledonia"/>
        <s v="New-Zealand"/>
        <s v="Nicaragua"/>
        <s v="Niger"/>
        <s v="Nigeria"/>
        <s v="Niue"/>
        <s v="North-America"/>
        <s v="North-Macedonia"/>
        <s v="Norway"/>
        <s v="Oceania"/>
        <s v="Oman"/>
        <s v="Pakistan"/>
        <s v="Palau"/>
        <s v="Palestine"/>
        <s v="Panama"/>
        <s v="Papua-New-Guinea"/>
        <s v="Paraguay"/>
        <s v="Peru"/>
        <s v="Philippines"/>
        <s v="Poland"/>
        <s v="Portugal"/>
        <s v="Qatar"/>
        <s v="R&amp;eacute;union"/>
        <s v="Romania"/>
        <s v="Russia"/>
        <s v="Rwanda"/>
        <s v="S-Korea"/>
        <s v="Saint-Helena"/>
        <s v="Saint-Kitts-and-Nevis"/>
        <s v="Saint-Lucia"/>
        <s v="Saint-Martin"/>
        <s v="Saint-Pierre-Miquelon"/>
        <s v="Samoa"/>
        <s v="San-Marino"/>
        <s v="Sao-Tome-and-Principe"/>
        <s v="Saudi-Arabia"/>
        <s v="Senegal"/>
        <s v="Serbia"/>
        <s v="Seychelles"/>
        <s v="Sierra-Leone"/>
        <s v="Singapore"/>
        <s v="Sint-Maarten"/>
        <s v="Slovakia"/>
        <s v="Slovenia"/>
        <s v="Solomon-Islands"/>
        <s v="Somalia"/>
        <s v="South-Africa"/>
        <s v="South-America"/>
        <s v="South-Sudan"/>
        <s v="Spain"/>
        <s v="Sri-Lanka"/>
        <s v="St-Barth"/>
        <s v="St-Vincent-Grenadines"/>
        <s v="Sudan"/>
        <s v="Suriname"/>
        <s v="Sweden"/>
        <s v="Switzerland"/>
        <s v="Syria"/>
        <s v="Taiwan"/>
        <s v="Tajikistan"/>
        <s v="Tanzania"/>
        <s v="Thailand"/>
        <s v="Timor-Leste"/>
        <s v="Togo"/>
        <s v="Tokelau"/>
        <s v="Tonga"/>
        <s v="Trinidad-and-Tobago"/>
        <s v="Tunisia"/>
        <s v="Turkey"/>
        <s v="Turks-and-Caicos"/>
        <s v="Tuvalu"/>
        <s v="UAE"/>
        <s v="UK"/>
        <s v="USA"/>
        <s v="Uganda"/>
        <s v="Ukraine"/>
        <s v="Uruguay"/>
        <s v="Uzbekistan"/>
        <s v="Vanuatu"/>
        <s v="Vatican-City"/>
        <s v="Venezuela"/>
        <s v="Vietnam"/>
        <s v="Wallis-and-Futuna"/>
        <s v="Western-Sahara"/>
        <s v="Yemen"/>
        <s v="Zambia"/>
        <s v="Zimbabwe"/>
      </sharedItems>
    </cacheField>
    <cacheField name="continent" numFmtId="0">
      <sharedItems count="6">
        <s v="Asia"/>
        <s v="Africa"/>
        <s v="Europe"/>
        <s v="North-America"/>
        <s v="South-America"/>
        <s v="Oceania"/>
      </sharedItems>
    </cacheField>
    <cacheField name="population" numFmtId="0">
      <sharedItems containsSemiMixedTypes="0" containsString="0" containsNumber="1" containsInteger="1" minValue="799" maxValue="1448471400"/>
    </cacheField>
    <cacheField name="Year" numFmtId="0">
      <sharedItems containsSemiMixedTypes="0" containsString="0" containsNumber="1" containsInteger="1" minValue="2020" maxValue="2023" count="4">
        <n v="2021"/>
        <n v="2023"/>
        <n v="2020"/>
        <n v="2022"/>
      </sharedItems>
    </cacheField>
    <cacheField name="Cases" numFmtId="0">
      <sharedItems containsSemiMixedTypes="0" containsString="0" containsNumber="1" containsInteger="1" minValue="9" maxValue="253406198" count="237">
        <n v="234174"/>
        <n v="12860924"/>
        <n v="334863"/>
        <n v="272010"/>
        <n v="48015"/>
        <n v="107327"/>
        <n v="3904"/>
        <n v="9106"/>
        <n v="10128845"/>
        <n v="451831"/>
        <n v="44224"/>
        <n v="221500265"/>
        <n v="11853144"/>
        <n v="6081287"/>
        <n v="835234"/>
        <n v="38084"/>
        <n v="729549"/>
        <n v="2049377"/>
        <n v="110578"/>
        <n v="994037"/>
        <n v="4861695"/>
        <n v="71409"/>
        <n v="28036"/>
        <n v="18860"/>
        <n v="62697"/>
        <n v="1212131"/>
        <n v="403615"/>
        <n v="330638"/>
        <n v="38743918"/>
        <n v="7392"/>
        <n v="343719"/>
        <n v="1339851"/>
        <n v="22114"/>
        <n v="54721"/>
        <n v="15440"/>
        <n v="64477"/>
        <n v="139103"/>
        <n v="125379"/>
        <n v="4946090"/>
        <n v="11682"/>
        <n v="31472"/>
        <n v="7701"/>
        <n v="101717"/>
        <n v="5384853"/>
        <n v="503302"/>
        <n v="6400173"/>
        <n v="9109"/>
        <n v="25375"/>
        <n v="7203"/>
        <n v="1238883"/>
        <n v="1309728"/>
        <n v="1115251"/>
        <n v="45986"/>
        <n v="681110"/>
        <n v="4759041"/>
        <n v="4772813"/>
        <n v="99338"/>
        <n v="3183756"/>
        <n v="712"/>
        <n v="15690"/>
        <n v="16038"/>
        <n v="675890"/>
        <n v="1070188"/>
        <n v="516023"/>
        <n v="201855"/>
        <n v="17229"/>
        <n v="10189"/>
        <n v="628070"/>
        <n v="75191"/>
        <n v="501157"/>
        <n v="253406198"/>
        <n v="34658"/>
        <n v="1930"/>
        <n v="69117"/>
        <n v="1516117"/>
        <n v="40138560"/>
        <n v="98041"/>
        <n v="79254"/>
        <n v="49051"/>
        <n v="12626"/>
        <n v="1861665"/>
        <n v="38828995"/>
        <n v="171889"/>
        <n v="20550"/>
        <n v="6101379"/>
        <n v="11971"/>
        <n v="19693"/>
        <n v="203235"/>
        <n v="1291293"/>
        <n v="38572"/>
        <n v="9614"/>
        <n v="74137"/>
        <n v="34667"/>
        <n v="474590"/>
        <n v="2937609"/>
        <n v="2230232"/>
        <n v="209906"/>
        <n v="45035393"/>
        <n v="6829221"/>
        <n v="7627186"/>
        <n v="2465545"/>
        <n v="1734582"/>
        <n v="38008"/>
        <n v="4841772"/>
        <n v="26723249"/>
        <n v="88384"/>
        <n v="156869"/>
        <n v="33803572"/>
        <n v="1746997"/>
        <n v="1411831"/>
        <n v="344130"/>
        <n v="5085"/>
        <n v="667158"/>
        <n v="206897"/>
        <n v="218970"/>
        <n v="982505"/>
        <n v="1243838"/>
        <n v="36138"/>
        <n v="8090"/>
        <n v="507274"/>
        <n v="21574"/>
        <n v="1397806"/>
        <n v="391232"/>
        <n v="9"/>
        <n v="27673"/>
        <n v="68486"/>
        <n v="89535"/>
        <n v="5278406"/>
        <n v="186694"/>
        <n v="33164"/>
        <n v="121420"/>
        <n v="16138"/>
        <n v="230354"/>
        <n v="63848"/>
        <n v="43025"/>
        <n v="42027"/>
        <n v="7702809"/>
        <n v="26547"/>
        <n v="635145"/>
        <n v="17181"/>
        <n v="1011496"/>
        <n v="296542"/>
        <n v="1403"/>
        <n v="1278992"/>
        <n v="233731"/>
        <n v="641873"/>
        <n v="172389"/>
        <n v="5393"/>
        <n v="1003450"/>
        <n v="8635786"/>
        <n v="80064"/>
        <n v="2621111"/>
        <n v="18491"/>
        <n v="9931"/>
        <n v="267188"/>
        <n v="1059"/>
        <n v="131889132"/>
        <n v="350567"/>
        <n v="1509732"/>
        <n v="14895771"/>
        <n v="399449"/>
        <n v="1581936"/>
        <n v="6290"/>
        <n v="621008"/>
        <n v="1059893"/>
        <n v="46864"/>
        <n v="837602"/>
        <n v="4572667"/>
        <n v="4140383"/>
        <n v="6661991"/>
        <n v="5643062"/>
        <n v="514524"/>
        <n v="494595"/>
        <n v="3529735"/>
        <n v="24124215"/>
        <n v="133518"/>
        <n v="34571873"/>
        <n v="2166"/>
        <n v="6607"/>
        <n v="30215"/>
        <n v="12324"/>
        <n v="3452"/>
        <n v="17006"/>
        <n v="26185"/>
        <n v="6778"/>
        <n v="841469"/>
        <n v="89053"/>
        <n v="2615054"/>
        <n v="51220"/>
        <n v="7779"/>
        <n v="3006155"/>
        <n v="11051"/>
        <n v="1877605"/>
        <n v="1356546"/>
        <n v="25954"/>
        <n v="27334"/>
        <n v="4076463"/>
        <n v="70200879"/>
        <n v="18819"/>
        <n v="13914811"/>
        <n v="672754"/>
        <n v="5507"/>
        <n v="9674"/>
        <n v="63993"/>
        <n v="82588"/>
        <n v="2754129"/>
        <n v="4453053"/>
        <n v="57743"/>
        <n v="10241523"/>
        <n v="17786"/>
        <n v="43223"/>
        <n v="4770149"/>
        <n v="23460"/>
        <n v="39572"/>
        <n v="80"/>
        <n v="16950"/>
        <n v="191496"/>
        <n v="1153361"/>
        <n v="17232066"/>
        <n v="6752"/>
        <n v="2943"/>
        <n v="1067030"/>
        <n v="24910387"/>
        <n v="111820082"/>
        <n v="172149"/>
        <n v="5557995"/>
        <n v="1041111"/>
        <n v="253662"/>
        <n v="12019"/>
        <n v="29"/>
        <n v="552695"/>
        <n v="11625195"/>
        <n v="3550"/>
        <n v="10"/>
        <n v="11945"/>
        <n v="349304"/>
        <n v="266359"/>
      </sharedItems>
    </cacheField>
    <cacheField name="Recovered" numFmtId="0">
      <sharedItems containsSemiMixedTypes="0" containsString="0" containsNumber="1" minValue="2" maxValue="248754104"/>
    </cacheField>
    <cacheField name="Deaths" numFmtId="0">
      <sharedItems containsSemiMixedTypes="0" containsString="0" containsNumber="1" containsInteger="1" minValue="1" maxValue="2101824"/>
    </cacheField>
    <cacheField name="Active" numFmtId="0">
      <sharedItems containsSemiMixedTypes="0" containsString="0" containsNumber="1" containsInteger="1" minValue="0" maxValue="44266678"/>
    </cacheField>
    <cacheField name="Vaccinated" numFmtId="0">
      <sharedItems containsSemiMixedTypes="0" containsString="0" containsNumber="1" containsInteger="1" minValue="561" maxValue="1117553948"/>
    </cacheField>
    <cacheField name="Recovery %" numFmtId="0">
      <sharedItems containsSemiMixedTypes="0" containsString="0" containsNumber="1" minValue="0.09" maxValue="293931.88"/>
    </cacheField>
    <cacheField name="Death %" numFmtId="0">
      <sharedItems containsSemiMixedTypes="0" containsString="0" containsNumber="1" minValue="0" maxValue="8862.07"/>
    </cacheField>
    <cacheField name="Vaccination %" numFmtId="0">
      <sharedItems containsSemiMixedTypes="0" containsString="0" containsNumber="1" minValue="46.51" maxValue="100"/>
    </cacheField>
    <cacheField name="Tests" numFmtId="0">
      <sharedItems containsSemiMixedTypes="0" containsString="0" containsNumber="1" containsInteger="1" minValue="7850" maxValue="1186851502"/>
    </cacheField>
    <cacheField name="Rank by cas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LENOVA" refreshedDate="46121.519135763891" createdVersion="6" refreshedVersion="6" minRefreshableVersion="3" recordCount="238">
  <cacheSource type="worksheet">
    <worksheetSource ref="A1:N1048576" sheet="Table"/>
  </cacheSource>
  <cacheFields count="14">
    <cacheField name="country" numFmtId="0">
      <sharedItems containsBlank="1"/>
    </cacheField>
    <cacheField name="continent" numFmtId="0">
      <sharedItems containsBlank="1"/>
    </cacheField>
    <cacheField name="population" numFmtId="0">
      <sharedItems containsString="0" containsBlank="1" containsNumber="1" containsInteger="1" minValue="799" maxValue="1448471400"/>
    </cacheField>
    <cacheField name="Year" numFmtId="0">
      <sharedItems containsString="0" containsBlank="1" containsNumber="1" containsInteger="1" minValue="2020" maxValue="2023"/>
    </cacheField>
    <cacheField name="Cases" numFmtId="0">
      <sharedItems containsString="0" containsBlank="1" containsNumber="1" containsInteger="1" minValue="9" maxValue="253406198"/>
    </cacheField>
    <cacheField name="Recovered" numFmtId="0">
      <sharedItems containsString="0" containsBlank="1" containsNumber="1" minValue="2" maxValue="248754104"/>
    </cacheField>
    <cacheField name="Deaths" numFmtId="0">
      <sharedItems containsString="0" containsBlank="1" containsNumber="1" containsInteger="1" minValue="1" maxValue="2101824"/>
    </cacheField>
    <cacheField name="Active" numFmtId="0">
      <sharedItems containsString="0" containsBlank="1" containsNumber="1" containsInteger="1" minValue="0" maxValue="44266678"/>
    </cacheField>
    <cacheField name="Vaccinated" numFmtId="0">
      <sharedItems containsString="0" containsBlank="1" containsNumber="1" containsInteger="1" minValue="561" maxValue="1117553948"/>
    </cacheField>
    <cacheField name="Recovery %" numFmtId="0">
      <sharedItems containsString="0" containsBlank="1" containsNumber="1" minValue="0.09" maxValue="293931.88"/>
    </cacheField>
    <cacheField name="Death %" numFmtId="0">
      <sharedItems containsString="0" containsBlank="1" containsNumber="1" minValue="0" maxValue="8862.07"/>
    </cacheField>
    <cacheField name="Vaccination %" numFmtId="0">
      <sharedItems containsString="0" containsBlank="1" containsNumber="1" minValue="46.51" maxValue="100"/>
    </cacheField>
    <cacheField name="Tests" numFmtId="0">
      <sharedItems containsString="0" containsBlank="1" containsNumber="1" containsInteger="1" minValue="7850" maxValue="1186851502"/>
    </cacheField>
    <cacheField name="Rank by cases" numFmtId="0">
      <sharedItems containsBlank="1" count="6">
        <s v="3rd"/>
        <s v="2nd"/>
        <s v="4th"/>
        <s v="5th"/>
        <s v="1s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8">
  <r>
    <s v="Afghanistan"/>
    <x v="0"/>
    <n v="40754388"/>
    <n v="2021"/>
    <n v="234174"/>
    <n v="211080"/>
    <n v="7996"/>
    <n v="15098"/>
    <n v="25520706"/>
    <n v="90.14"/>
    <n v="3.41"/>
    <n v="62.62"/>
    <n v="1390730"/>
  </r>
  <r>
    <s v="Africa"/>
    <x v="1"/>
    <n v="5797805"/>
    <n v="2023"/>
    <n v="12860924"/>
    <n v="12090808"/>
    <n v="258892"/>
    <n v="511224"/>
    <n v="5797805"/>
    <n v="94.01"/>
    <n v="2.0099999999999998"/>
    <n v="100"/>
    <n v="2226216"/>
  </r>
  <r>
    <s v="Albania"/>
    <x v="2"/>
    <n v="2866374"/>
    <n v="2020"/>
    <n v="334863"/>
    <n v="330233"/>
    <n v="3605"/>
    <n v="1025"/>
    <n v="1400822"/>
    <n v="98.62"/>
    <n v="1.08"/>
    <n v="48.87"/>
    <n v="1941032"/>
  </r>
  <r>
    <s v="Algeria"/>
    <x v="1"/>
    <n v="45350148"/>
    <n v="2023"/>
    <n v="272010"/>
    <n v="183061"/>
    <n v="6881"/>
    <n v="82068"/>
    <n v="29017896"/>
    <n v="67.3"/>
    <n v="2.5299999999999998"/>
    <n v="63.99"/>
    <n v="230960"/>
  </r>
  <r>
    <s v="All"/>
    <x v="3"/>
    <n v="5797805"/>
    <n v="2021"/>
    <n v="704753890"/>
    <n v="675619811"/>
    <n v="7010681"/>
    <n v="22123398"/>
    <n v="5797805"/>
    <n v="95.87"/>
    <n v="0.99"/>
    <n v="100"/>
    <n v="2226216"/>
  </r>
  <r>
    <s v="Andorra"/>
    <x v="2"/>
    <n v="77463"/>
    <n v="2023"/>
    <n v="48015"/>
    <n v="235145.5"/>
    <n v="165"/>
    <n v="0"/>
    <n v="58720"/>
    <n v="489.73"/>
    <n v="0.34"/>
    <n v="75.8"/>
    <n v="249838"/>
  </r>
  <r>
    <s v="Angola"/>
    <x v="1"/>
    <n v="35027343"/>
    <n v="2023"/>
    <n v="107327"/>
    <n v="103419"/>
    <n v="1937"/>
    <n v="1971"/>
    <n v="30386555"/>
    <n v="96.36"/>
    <n v="1.8"/>
    <n v="86.75"/>
    <n v="1499795"/>
  </r>
  <r>
    <s v="Anguilla"/>
    <x v="4"/>
    <n v="15230"/>
    <n v="2020"/>
    <n v="3904"/>
    <n v="235145.5"/>
    <n v="12"/>
    <n v="0"/>
    <n v="9247"/>
    <n v="6023.19"/>
    <n v="0.31"/>
    <n v="60.72"/>
    <n v="51382"/>
  </r>
  <r>
    <s v="Antigua-and-Barbuda"/>
    <x v="4"/>
    <n v="99509"/>
    <n v="2020"/>
    <n v="9106"/>
    <n v="8954"/>
    <n v="146"/>
    <n v="6"/>
    <n v="47113"/>
    <n v="98.33"/>
    <n v="1.6"/>
    <n v="47.35"/>
    <n v="18901"/>
  </r>
  <r>
    <s v="Argentina"/>
    <x v="5"/>
    <n v="46010234"/>
    <n v="2020"/>
    <n v="10128845"/>
    <n v="9997258"/>
    <n v="130841"/>
    <n v="746"/>
    <n v="28727564"/>
    <n v="98.7"/>
    <n v="1.29"/>
    <n v="62.44"/>
    <n v="35716069"/>
  </r>
  <r>
    <s v="Armenia"/>
    <x v="0"/>
    <n v="2971966"/>
    <n v="2020"/>
    <n v="451831"/>
    <n v="435162"/>
    <n v="8777"/>
    <n v="7892"/>
    <n v="2009941"/>
    <n v="96.31"/>
    <n v="1.94"/>
    <n v="67.63"/>
    <n v="3242901"/>
  </r>
  <r>
    <s v="Aruba"/>
    <x v="4"/>
    <n v="107609"/>
    <n v="2021"/>
    <n v="44224"/>
    <n v="42438"/>
    <n v="292"/>
    <n v="1494"/>
    <n v="76311"/>
    <n v="95.96"/>
    <n v="0.66"/>
    <n v="70.92"/>
    <n v="177885"/>
  </r>
  <r>
    <s v="Asia"/>
    <x v="0"/>
    <n v="5797805"/>
    <n v="2020"/>
    <n v="221500265"/>
    <n v="205673091"/>
    <n v="1553662"/>
    <n v="14273512"/>
    <n v="5797805"/>
    <n v="92.85"/>
    <n v="0.7"/>
    <n v="100"/>
    <n v="2226216"/>
  </r>
  <r>
    <s v="Australia"/>
    <x v="6"/>
    <n v="26068792"/>
    <n v="2020"/>
    <n v="11853144"/>
    <n v="11820014"/>
    <n v="24414"/>
    <n v="8716"/>
    <n v="22875672"/>
    <n v="99.72"/>
    <n v="0.21"/>
    <n v="87.75"/>
    <n v="81916639"/>
  </r>
  <r>
    <s v="Austria"/>
    <x v="2"/>
    <n v="9066710"/>
    <n v="2022"/>
    <n v="6081287"/>
    <n v="6054934"/>
    <n v="22542"/>
    <n v="3811"/>
    <n v="8527128"/>
    <n v="99.57"/>
    <n v="0.37"/>
    <n v="94.05"/>
    <n v="211273524"/>
  </r>
  <r>
    <s v="Azerbaijan"/>
    <x v="0"/>
    <n v="10300205"/>
    <n v="2022"/>
    <n v="835234"/>
    <n v="824089"/>
    <n v="10400"/>
    <n v="745"/>
    <n v="6480020"/>
    <n v="98.67"/>
    <n v="1.25"/>
    <n v="62.91"/>
    <n v="7748050"/>
  </r>
  <r>
    <s v="Bahamas"/>
    <x v="4"/>
    <n v="400516"/>
    <n v="2023"/>
    <n v="38084"/>
    <n v="36366"/>
    <n v="844"/>
    <n v="874"/>
    <n v="229910"/>
    <n v="95.49"/>
    <n v="2.2200000000000002"/>
    <n v="57.4"/>
    <n v="257839"/>
  </r>
  <r>
    <s v="Bahrain"/>
    <x v="0"/>
    <n v="1783983"/>
    <n v="2020"/>
    <n v="729549"/>
    <n v="727915"/>
    <n v="1574"/>
    <n v="60"/>
    <n v="1032501"/>
    <n v="99.78"/>
    <n v="0.22"/>
    <n v="57.88"/>
    <n v="10948549"/>
  </r>
  <r>
    <s v="Bangladesh"/>
    <x v="0"/>
    <n v="167885689"/>
    <n v="2023"/>
    <n v="2049377"/>
    <n v="235145.5"/>
    <n v="29493"/>
    <n v="1784738"/>
    <n v="144559529"/>
    <n v="11.47"/>
    <n v="1.44"/>
    <n v="86.11"/>
    <n v="15254399"/>
  </r>
  <r>
    <s v="Barbados"/>
    <x v="4"/>
    <n v="288023"/>
    <n v="2020"/>
    <n v="110578"/>
    <n v="108647"/>
    <n v="648"/>
    <n v="1283"/>
    <n v="208076"/>
    <n v="98.25"/>
    <n v="0.59"/>
    <n v="72.239999999999995"/>
    <n v="814159"/>
  </r>
  <r>
    <s v="Belarus"/>
    <x v="2"/>
    <n v="9432800"/>
    <n v="2023"/>
    <n v="994037"/>
    <n v="985592"/>
    <n v="7118"/>
    <n v="1327"/>
    <n v="6772062"/>
    <n v="99.15"/>
    <n v="0.72"/>
    <n v="71.790000000000006"/>
    <n v="13646641"/>
  </r>
  <r>
    <s v="Belgium"/>
    <x v="2"/>
    <n v="11668278"/>
    <n v="2020"/>
    <n v="4861695"/>
    <n v="4826798"/>
    <n v="34376"/>
    <n v="521"/>
    <n v="7235473"/>
    <n v="99.28"/>
    <n v="0.71"/>
    <n v="62.01"/>
    <n v="37454182"/>
  </r>
  <r>
    <s v="Belize"/>
    <x v="4"/>
    <n v="412190"/>
    <n v="2021"/>
    <n v="71409"/>
    <n v="235145.5"/>
    <n v="688"/>
    <n v="0"/>
    <n v="332348"/>
    <n v="329.29"/>
    <n v="0.96"/>
    <n v="80.63"/>
    <n v="576016"/>
  </r>
  <r>
    <s v="Benin"/>
    <x v="1"/>
    <n v="12784726"/>
    <n v="2020"/>
    <n v="28036"/>
    <n v="27847"/>
    <n v="163"/>
    <n v="26"/>
    <n v="9358025"/>
    <n v="99.33"/>
    <n v="0.57999999999999996"/>
    <n v="73.2"/>
    <n v="604310"/>
  </r>
  <r>
    <s v="Bermuda"/>
    <x v="4"/>
    <n v="61939"/>
    <n v="2021"/>
    <n v="18860"/>
    <n v="18685"/>
    <n v="165"/>
    <n v="10"/>
    <n v="39172"/>
    <n v="99.07"/>
    <n v="0.87"/>
    <n v="63.24"/>
    <n v="1029558"/>
  </r>
  <r>
    <s v="Bhutan"/>
    <x v="0"/>
    <n v="787941"/>
    <n v="2022"/>
    <n v="62697"/>
    <n v="61564"/>
    <n v="21"/>
    <n v="1112"/>
    <n v="684593"/>
    <n v="98.19"/>
    <n v="0.03"/>
    <n v="86.88"/>
    <n v="2303734"/>
  </r>
  <r>
    <s v="Bolivia"/>
    <x v="5"/>
    <n v="11992656"/>
    <n v="2021"/>
    <n v="1212131"/>
    <n v="1177145"/>
    <n v="22407"/>
    <n v="12579"/>
    <n v="6928200"/>
    <n v="97.11"/>
    <n v="1.85"/>
    <n v="57.77"/>
    <n v="2710261"/>
  </r>
  <r>
    <s v="Bosnia-and-Herzegovina"/>
    <x v="2"/>
    <n v="3249317"/>
    <n v="2022"/>
    <n v="403615"/>
    <n v="379084"/>
    <n v="16388"/>
    <n v="8143"/>
    <n v="1810360"/>
    <n v="93.92"/>
    <n v="4.0599999999999996"/>
    <n v="55.72"/>
    <n v="1884721"/>
  </r>
  <r>
    <s v="Botswana"/>
    <x v="1"/>
    <n v="2441162"/>
    <n v="2023"/>
    <n v="330638"/>
    <n v="327049"/>
    <n v="2801"/>
    <n v="788"/>
    <n v="1647016"/>
    <n v="98.91"/>
    <n v="0.85"/>
    <n v="67.47"/>
    <n v="2026898"/>
  </r>
  <r>
    <s v="Brazil"/>
    <x v="5"/>
    <n v="215353593"/>
    <n v="2021"/>
    <n v="38743918"/>
    <n v="36249161"/>
    <n v="711380"/>
    <n v="1783377"/>
    <n v="140304144"/>
    <n v="93.56"/>
    <n v="1.84"/>
    <n v="65.150000000000006"/>
    <n v="63776166"/>
  </r>
  <r>
    <s v="British-Virgin-Islands"/>
    <x v="4"/>
    <n v="30596"/>
    <n v="2022"/>
    <n v="7392"/>
    <n v="235145.5"/>
    <n v="64"/>
    <n v="0"/>
    <n v="19032"/>
    <n v="3181.08"/>
    <n v="0.87"/>
    <n v="62.2"/>
    <n v="107339"/>
  </r>
  <r>
    <s v="Brunei"/>
    <x v="0"/>
    <n v="445431"/>
    <n v="2021"/>
    <n v="343719"/>
    <n v="243601"/>
    <n v="225"/>
    <n v="99893"/>
    <n v="343719"/>
    <n v="70.87"/>
    <n v="7.0000000000000007E-2"/>
    <n v="77.17"/>
    <n v="717784"/>
  </r>
  <r>
    <s v="Bulgaria"/>
    <x v="2"/>
    <n v="6844597"/>
    <n v="2020"/>
    <n v="1339851"/>
    <n v="1292944"/>
    <n v="38748"/>
    <n v="8159"/>
    <n v="4567101"/>
    <n v="96.5"/>
    <n v="2.89"/>
    <n v="66.73"/>
    <n v="11671043"/>
  </r>
  <r>
    <s v="Burkina-Faso"/>
    <x v="1"/>
    <n v="22102838"/>
    <n v="2020"/>
    <n v="22114"/>
    <n v="21596"/>
    <n v="400"/>
    <n v="118"/>
    <n v="16211863"/>
    <n v="97.66"/>
    <n v="1.81"/>
    <n v="73.349999999999994"/>
    <n v="248995"/>
  </r>
  <r>
    <s v="Burundi"/>
    <x v="1"/>
    <n v="12624840"/>
    <n v="2023"/>
    <n v="54721"/>
    <n v="53569"/>
    <n v="38"/>
    <n v="1114"/>
    <n v="9240560"/>
    <n v="97.89"/>
    <n v="7.0000000000000007E-2"/>
    <n v="73.19"/>
    <n v="345742"/>
  </r>
  <r>
    <s v="CAR"/>
    <x v="1"/>
    <n v="5016678"/>
    <n v="2021"/>
    <n v="15440"/>
    <n v="15200"/>
    <n v="113"/>
    <n v="127"/>
    <n v="4410255"/>
    <n v="98.45"/>
    <n v="0.73"/>
    <n v="87.91"/>
    <n v="81294"/>
  </r>
  <r>
    <s v="Cabo-Verde"/>
    <x v="1"/>
    <n v="567678"/>
    <n v="2020"/>
    <n v="64477"/>
    <n v="63755"/>
    <n v="417"/>
    <n v="305"/>
    <n v="433449"/>
    <n v="98.88"/>
    <n v="0.65"/>
    <n v="76.349999999999994"/>
    <n v="401622"/>
  </r>
  <r>
    <s v="Cambodia"/>
    <x v="0"/>
    <n v="17168639"/>
    <n v="2023"/>
    <n v="139103"/>
    <n v="136044"/>
    <n v="3056"/>
    <n v="3"/>
    <n v="13795045"/>
    <n v="97.8"/>
    <n v="2.2000000000000002"/>
    <n v="80.349999999999994"/>
    <n v="3091420"/>
  </r>
  <r>
    <s v="Cameroon"/>
    <x v="1"/>
    <n v="27911548"/>
    <n v="2021"/>
    <n v="125379"/>
    <n v="123280"/>
    <n v="1974"/>
    <n v="125"/>
    <n v="21906608"/>
    <n v="98.33"/>
    <n v="1.57"/>
    <n v="78.489999999999995"/>
    <n v="1751774"/>
  </r>
  <r>
    <s v="Canada"/>
    <x v="4"/>
    <n v="38388419"/>
    <n v="2020"/>
    <n v="4946090"/>
    <n v="4881312"/>
    <n v="59034"/>
    <n v="5744"/>
    <n v="32719235"/>
    <n v="98.69"/>
    <n v="1.19"/>
    <n v="85.23"/>
    <n v="66572774"/>
  </r>
  <r>
    <s v="Caribbean-Netherlands"/>
    <x v="4"/>
    <n v="26647"/>
    <n v="2020"/>
    <n v="11682"/>
    <n v="10476"/>
    <n v="38"/>
    <n v="1168"/>
    <n v="18650"/>
    <n v="89.68"/>
    <n v="0.33"/>
    <n v="69.989999999999995"/>
    <n v="30126"/>
  </r>
  <r>
    <s v="Cayman-Islands"/>
    <x v="4"/>
    <n v="67277"/>
    <n v="2023"/>
    <n v="31472"/>
    <n v="8553"/>
    <n v="37"/>
    <n v="22882"/>
    <n v="48269"/>
    <n v="27.18"/>
    <n v="0.12"/>
    <n v="71.75"/>
    <n v="222773"/>
  </r>
  <r>
    <s v="Chad"/>
    <x v="1"/>
    <n v="17413580"/>
    <n v="2022"/>
    <n v="7701"/>
    <n v="4874"/>
    <n v="194"/>
    <n v="2633"/>
    <n v="13768304"/>
    <n v="63.29"/>
    <n v="2.52"/>
    <n v="79.069999999999993"/>
    <n v="191341"/>
  </r>
  <r>
    <s v="Channel-Islands"/>
    <x v="2"/>
    <n v="176463"/>
    <n v="2023"/>
    <n v="101717"/>
    <n v="101321"/>
    <n v="228"/>
    <n v="168"/>
    <n v="101717"/>
    <n v="99.61"/>
    <n v="0.22"/>
    <n v="57.64"/>
    <n v="1252808"/>
  </r>
  <r>
    <s v="Chile"/>
    <x v="5"/>
    <n v="19250195"/>
    <n v="2023"/>
    <n v="5384853"/>
    <n v="5252450"/>
    <n v="64497"/>
    <n v="67906"/>
    <n v="11698390"/>
    <n v="97.54"/>
    <n v="1.2"/>
    <n v="60.77"/>
    <n v="50382097"/>
  </r>
  <r>
    <s v="China"/>
    <x v="0"/>
    <n v="1448471400"/>
    <n v="2022"/>
    <n v="503302"/>
    <n v="379053"/>
    <n v="5272"/>
    <n v="118977"/>
    <n v="840194735"/>
    <n v="75.31"/>
    <n v="1.05"/>
    <n v="58.01"/>
    <n v="160000000"/>
  </r>
  <r>
    <s v="Colombia"/>
    <x v="5"/>
    <n v="51512762"/>
    <n v="2023"/>
    <n v="6400173"/>
    <n v="6212152"/>
    <n v="143200"/>
    <n v="44821"/>
    <n v="26374797"/>
    <n v="97.06"/>
    <n v="2.2400000000000002"/>
    <n v="51.2"/>
    <n v="36951507"/>
  </r>
  <r>
    <s v="Comoros"/>
    <x v="1"/>
    <n v="907419"/>
    <n v="2022"/>
    <n v="9109"/>
    <n v="8939"/>
    <n v="161"/>
    <n v="9"/>
    <n v="428646"/>
    <n v="98.13"/>
    <n v="1.77"/>
    <n v="47.24"/>
    <n v="2226216"/>
  </r>
  <r>
    <s v="Congo"/>
    <x v="1"/>
    <n v="5797805"/>
    <n v="2023"/>
    <n v="25375"/>
    <n v="24006"/>
    <n v="386"/>
    <n v="983"/>
    <n v="4956494"/>
    <n v="94.6"/>
    <n v="1.52"/>
    <n v="85.49"/>
    <n v="347815"/>
  </r>
  <r>
    <s v="Cook-Islands"/>
    <x v="6"/>
    <n v="17571"/>
    <n v="2022"/>
    <n v="7203"/>
    <n v="7150"/>
    <n v="2"/>
    <n v="51"/>
    <n v="14665"/>
    <n v="99.26"/>
    <n v="0.03"/>
    <n v="83.46"/>
    <n v="19690"/>
  </r>
  <r>
    <s v="Costa-Rica"/>
    <x v="4"/>
    <n v="5182354"/>
    <n v="2020"/>
    <n v="1238883"/>
    <n v="235145.5"/>
    <n v="9428"/>
    <n v="994310"/>
    <n v="4142102"/>
    <n v="18.98"/>
    <n v="0.76"/>
    <n v="79.930000000000007"/>
    <n v="4659757"/>
  </r>
  <r>
    <s v="Croatia"/>
    <x v="2"/>
    <n v="4059286"/>
    <n v="2022"/>
    <n v="1309728"/>
    <n v="1258432"/>
    <n v="18687"/>
    <n v="32609"/>
    <n v="2685045"/>
    <n v="96.08"/>
    <n v="1.43"/>
    <n v="66.150000000000006"/>
    <n v="5660084"/>
  </r>
  <r>
    <s v="Cuba"/>
    <x v="4"/>
    <n v="11305652"/>
    <n v="2020"/>
    <n v="1115251"/>
    <n v="1106660"/>
    <n v="8530"/>
    <n v="61"/>
    <n v="8501473"/>
    <n v="99.23"/>
    <n v="0.76"/>
    <n v="75.2"/>
    <n v="14402674"/>
  </r>
  <r>
    <s v="Cura&amp;ccedil;ao"/>
    <x v="4"/>
    <n v="165529"/>
    <n v="2020"/>
    <n v="45986"/>
    <n v="44720"/>
    <n v="295"/>
    <n v="971"/>
    <n v="137792"/>
    <n v="97.25"/>
    <n v="0.64"/>
    <n v="83.24"/>
    <n v="496693"/>
  </r>
  <r>
    <s v="Cyprus"/>
    <x v="0"/>
    <n v="1223387"/>
    <n v="2020"/>
    <n v="681110"/>
    <n v="679745"/>
    <n v="1365"/>
    <n v="0"/>
    <n v="1027295"/>
    <n v="99.8"/>
    <n v="0.2"/>
    <n v="83.97"/>
    <n v="9640118"/>
  </r>
  <r>
    <s v="Czechia"/>
    <x v="2"/>
    <n v="10736784"/>
    <n v="2022"/>
    <n v="4759041"/>
    <n v="4715206"/>
    <n v="43517"/>
    <n v="318"/>
    <n v="5293964"/>
    <n v="99.08"/>
    <n v="0.91"/>
    <n v="49.31"/>
    <n v="57834241"/>
  </r>
  <r>
    <s v="DPRK"/>
    <x v="0"/>
    <n v="25990679"/>
    <n v="2023"/>
    <n v="4772813"/>
    <n v="4772739"/>
    <n v="74"/>
    <n v="0"/>
    <n v="16741798"/>
    <n v="100"/>
    <n v="0"/>
    <n v="64.41"/>
    <n v="2226216"/>
  </r>
  <r>
    <s v="DRC"/>
    <x v="1"/>
    <n v="95240792"/>
    <n v="2023"/>
    <n v="99338"/>
    <n v="84489"/>
    <n v="1468"/>
    <n v="13381"/>
    <n v="70359567"/>
    <n v="85.05"/>
    <n v="1.48"/>
    <n v="73.88"/>
    <n v="846704"/>
  </r>
  <r>
    <s v="Denmark"/>
    <x v="2"/>
    <n v="5834950"/>
    <n v="2020"/>
    <n v="3183756"/>
    <n v="3174942"/>
    <n v="8814"/>
    <n v="0"/>
    <n v="3747470"/>
    <n v="99.72"/>
    <n v="0.28000000000000003"/>
    <n v="64.22"/>
    <n v="129333107"/>
  </r>
  <r>
    <s v="Diamond-Princess"/>
    <x v="1"/>
    <n v="5797805"/>
    <n v="2022"/>
    <n v="712"/>
    <n v="699"/>
    <n v="13"/>
    <n v="0"/>
    <n v="2696696"/>
    <n v="98.17"/>
    <n v="1.83"/>
    <n v="46.51"/>
    <n v="2226216"/>
  </r>
  <r>
    <s v="Djibouti"/>
    <x v="1"/>
    <n v="1016097"/>
    <n v="2021"/>
    <n v="15690"/>
    <n v="15427"/>
    <n v="189"/>
    <n v="74"/>
    <n v="683578"/>
    <n v="98.32"/>
    <n v="1.2"/>
    <n v="67.27"/>
    <n v="305941"/>
  </r>
  <r>
    <s v="Dominica"/>
    <x v="4"/>
    <n v="72344"/>
    <n v="2020"/>
    <n v="16038"/>
    <n v="15964"/>
    <n v="74"/>
    <n v="0"/>
    <n v="54002"/>
    <n v="99.54"/>
    <n v="0.46"/>
    <n v="74.650000000000006"/>
    <n v="229344"/>
  </r>
  <r>
    <s v="Dominican-Republic"/>
    <x v="4"/>
    <n v="11056370"/>
    <n v="2022"/>
    <n v="675890"/>
    <n v="671316"/>
    <n v="4384"/>
    <n v="190"/>
    <n v="8130771"/>
    <n v="99.32"/>
    <n v="0.65"/>
    <n v="73.540000000000006"/>
    <n v="3740928"/>
  </r>
  <r>
    <s v="Ecuador"/>
    <x v="5"/>
    <n v="18113361"/>
    <n v="2021"/>
    <n v="1070188"/>
    <n v="1034145"/>
    <n v="36043"/>
    <n v="0"/>
    <n v="14838721"/>
    <n v="96.63"/>
    <n v="3.37"/>
    <n v="81.92"/>
    <n v="3082403"/>
  </r>
  <r>
    <s v="Egypt"/>
    <x v="1"/>
    <n v="106156692"/>
    <n v="2021"/>
    <n v="516023"/>
    <n v="442182"/>
    <n v="24613"/>
    <n v="49228"/>
    <n v="59733824"/>
    <n v="85.69"/>
    <n v="4.7699999999999996"/>
    <n v="56.27"/>
    <n v="3693367"/>
  </r>
  <r>
    <s v="El-Salvador"/>
    <x v="4"/>
    <n v="6550389"/>
    <n v="2022"/>
    <n v="201855"/>
    <n v="179410"/>
    <n v="4230"/>
    <n v="18215"/>
    <n v="3501415"/>
    <n v="88.88"/>
    <n v="2.1"/>
    <n v="53.45"/>
    <n v="2610114"/>
  </r>
  <r>
    <s v="Equatorial-Guinea"/>
    <x v="1"/>
    <n v="1496662"/>
    <n v="2021"/>
    <n v="17229"/>
    <n v="16907"/>
    <n v="183"/>
    <n v="139"/>
    <n v="934438"/>
    <n v="98.13"/>
    <n v="1.06"/>
    <n v="62.43"/>
    <n v="365697"/>
  </r>
  <r>
    <s v="Eritrea"/>
    <x v="1"/>
    <n v="3662244"/>
    <n v="2023"/>
    <n v="10189"/>
    <n v="10086"/>
    <n v="103"/>
    <n v="0"/>
    <n v="3100827"/>
    <n v="98.99"/>
    <n v="1.01"/>
    <n v="84.67"/>
    <n v="23693"/>
  </r>
  <r>
    <s v="Estonia"/>
    <x v="2"/>
    <n v="1321910"/>
    <n v="2023"/>
    <n v="628070"/>
    <n v="235145.5"/>
    <n v="3001"/>
    <n v="389924"/>
    <n v="1039817"/>
    <n v="37.44"/>
    <n v="0.48"/>
    <n v="78.66"/>
    <n v="6968103"/>
  </r>
  <r>
    <s v="Eswatini"/>
    <x v="1"/>
    <n v="1184817"/>
    <n v="2021"/>
    <n v="75191"/>
    <n v="73116"/>
    <n v="1427"/>
    <n v="648"/>
    <n v="914240"/>
    <n v="97.24"/>
    <n v="1.9"/>
    <n v="77.16"/>
    <n v="1048704"/>
  </r>
  <r>
    <s v="Ethiopia"/>
    <x v="1"/>
    <n v="120812698"/>
    <n v="2023"/>
    <n v="501157"/>
    <n v="488171"/>
    <n v="7574"/>
    <n v="5412"/>
    <n v="105836210"/>
    <n v="97.41"/>
    <n v="1.51"/>
    <n v="87.6"/>
    <n v="5565340"/>
  </r>
  <r>
    <s v="Europe"/>
    <x v="2"/>
    <n v="5797805"/>
    <n v="2020"/>
    <n v="253406198"/>
    <n v="248754104"/>
    <n v="2101824"/>
    <n v="2550270"/>
    <n v="5797805"/>
    <n v="98.16"/>
    <n v="0.83"/>
    <n v="100"/>
    <n v="2226216"/>
  </r>
  <r>
    <s v="Faeroe-Islands"/>
    <x v="2"/>
    <n v="49233"/>
    <n v="2020"/>
    <n v="34658"/>
    <n v="235145.5"/>
    <n v="28"/>
    <n v="0"/>
    <n v="34658"/>
    <n v="678.47"/>
    <n v="0.08"/>
    <n v="70.400000000000006"/>
    <n v="778000"/>
  </r>
  <r>
    <s v="Falkland-Islands"/>
    <x v="5"/>
    <n v="3539"/>
    <n v="2020"/>
    <n v="1930"/>
    <n v="1930"/>
    <n v="2570"/>
    <n v="0"/>
    <n v="1930"/>
    <n v="100"/>
    <n v="133.16"/>
    <n v="54.54"/>
    <n v="8632"/>
  </r>
  <r>
    <s v="Fiji"/>
    <x v="6"/>
    <n v="909466"/>
    <n v="2020"/>
    <n v="69117"/>
    <n v="67226"/>
    <n v="885"/>
    <n v="1006"/>
    <n v="569444"/>
    <n v="97.26"/>
    <n v="1.28"/>
    <n v="62.61"/>
    <n v="672883"/>
  </r>
  <r>
    <s v="Finland"/>
    <x v="2"/>
    <n v="5554960"/>
    <n v="2022"/>
    <n v="1516117"/>
    <n v="1503989"/>
    <n v="11958"/>
    <n v="170"/>
    <n v="3672191"/>
    <n v="99.2"/>
    <n v="0.79"/>
    <n v="66.11"/>
    <n v="12108977"/>
  </r>
  <r>
    <s v="France"/>
    <x v="2"/>
    <n v="65584518"/>
    <n v="2020"/>
    <n v="40138560"/>
    <n v="39970918"/>
    <n v="167642"/>
    <n v="0"/>
    <n v="54764444"/>
    <n v="99.58"/>
    <n v="0.42"/>
    <n v="83.5"/>
    <n v="271490188"/>
  </r>
  <r>
    <s v="French-Guiana"/>
    <x v="5"/>
    <n v="314169"/>
    <n v="2023"/>
    <n v="98041"/>
    <n v="11254"/>
    <n v="420"/>
    <n v="86367"/>
    <n v="291103"/>
    <n v="11.48"/>
    <n v="0.43"/>
    <n v="92.66"/>
    <n v="651257"/>
  </r>
  <r>
    <s v="French-Polynesia"/>
    <x v="6"/>
    <n v="284164"/>
    <n v="2023"/>
    <n v="79254"/>
    <n v="235145.5"/>
    <n v="650"/>
    <n v="0"/>
    <n v="206443"/>
    <n v="296.7"/>
    <n v="0.82"/>
    <n v="72.650000000000006"/>
    <n v="2226216"/>
  </r>
  <r>
    <s v="Gabon"/>
    <x v="1"/>
    <n v="2331533"/>
    <n v="2022"/>
    <n v="49051"/>
    <n v="48674"/>
    <n v="307"/>
    <n v="70"/>
    <n v="1981332"/>
    <n v="99.23"/>
    <n v="0.63"/>
    <n v="84.98"/>
    <n v="1621909"/>
  </r>
  <r>
    <s v="Gambia"/>
    <x v="1"/>
    <n v="2558482"/>
    <n v="2021"/>
    <n v="12626"/>
    <n v="12189"/>
    <n v="372"/>
    <n v="65"/>
    <n v="1656023"/>
    <n v="96.54"/>
    <n v="2.95"/>
    <n v="64.73"/>
    <n v="155686"/>
  </r>
  <r>
    <s v="Georgia"/>
    <x v="0"/>
    <n v="3968738"/>
    <n v="2023"/>
    <n v="1861665"/>
    <n v="235145.5"/>
    <n v="17132"/>
    <n v="1609388"/>
    <n v="2844160"/>
    <n v="12.63"/>
    <n v="0.92"/>
    <n v="71.66"/>
    <n v="16920079"/>
  </r>
  <r>
    <s v="Germany"/>
    <x v="2"/>
    <n v="83883596"/>
    <n v="2022"/>
    <n v="38828995"/>
    <n v="38240600"/>
    <n v="183027"/>
    <n v="405368"/>
    <n v="44041151"/>
    <n v="98.48"/>
    <n v="0.47"/>
    <n v="52.5"/>
    <n v="122332384"/>
  </r>
  <r>
    <s v="Ghana"/>
    <x v="1"/>
    <n v="32395450"/>
    <n v="2021"/>
    <n v="171889"/>
    <n v="170425"/>
    <n v="1462"/>
    <n v="2"/>
    <n v="29690653"/>
    <n v="99.15"/>
    <n v="0.85"/>
    <n v="91.65"/>
    <n v="2541625"/>
  </r>
  <r>
    <s v="Gibraltar"/>
    <x v="2"/>
    <n v="33704"/>
    <n v="2021"/>
    <n v="20550"/>
    <n v="235145.5"/>
    <n v="113"/>
    <n v="0"/>
    <n v="22186"/>
    <n v="1144.26"/>
    <n v="0.55000000000000004"/>
    <n v="65.83"/>
    <n v="534283"/>
  </r>
  <r>
    <s v="Greece"/>
    <x v="2"/>
    <n v="10316637"/>
    <n v="2021"/>
    <n v="6101379"/>
    <n v="235145.5"/>
    <n v="37869"/>
    <n v="5828364"/>
    <n v="6101379"/>
    <n v="3.85"/>
    <n v="0.62"/>
    <n v="59.14"/>
    <n v="102228365"/>
  </r>
  <r>
    <s v="Greenland"/>
    <x v="4"/>
    <n v="56973"/>
    <n v="2020"/>
    <n v="11971"/>
    <n v="2761"/>
    <n v="21"/>
    <n v="9189"/>
    <n v="42616"/>
    <n v="23.06"/>
    <n v="0.18"/>
    <n v="74.8"/>
    <n v="164926"/>
  </r>
  <r>
    <s v="Grenada"/>
    <x v="4"/>
    <n v="113475"/>
    <n v="2023"/>
    <n v="19693"/>
    <n v="19358"/>
    <n v="238"/>
    <n v="97"/>
    <n v="79255"/>
    <n v="98.3"/>
    <n v="1.21"/>
    <n v="69.84"/>
    <n v="182981"/>
  </r>
  <r>
    <s v="Guadeloupe"/>
    <x v="4"/>
    <n v="399794"/>
    <n v="2022"/>
    <n v="203235"/>
    <n v="235145.5"/>
    <n v="1021"/>
    <n v="0"/>
    <n v="203235"/>
    <n v="115.7"/>
    <n v="0.5"/>
    <n v="50.83"/>
    <n v="938039"/>
  </r>
  <r>
    <s v="Guatemala"/>
    <x v="4"/>
    <n v="18584039"/>
    <n v="2023"/>
    <n v="1291293"/>
    <n v="1269891"/>
    <n v="20289"/>
    <n v="1113"/>
    <n v="12185115"/>
    <n v="98.34"/>
    <n v="1.57"/>
    <n v="65.569999999999993"/>
    <n v="7593848"/>
  </r>
  <r>
    <s v="Guinea"/>
    <x v="1"/>
    <n v="13865691"/>
    <n v="2020"/>
    <n v="38572"/>
    <n v="37757"/>
    <n v="468"/>
    <n v="347"/>
    <n v="8463086"/>
    <n v="97.89"/>
    <n v="1.21"/>
    <n v="61.04"/>
    <n v="660107"/>
  </r>
  <r>
    <s v="Guinea-Bissau"/>
    <x v="1"/>
    <n v="2063367"/>
    <n v="2020"/>
    <n v="9614"/>
    <n v="8929"/>
    <n v="177"/>
    <n v="508"/>
    <n v="1013875"/>
    <n v="92.87"/>
    <n v="1.84"/>
    <n v="49.14"/>
    <n v="145231"/>
  </r>
  <r>
    <s v="Guyana"/>
    <x v="5"/>
    <n v="794045"/>
    <n v="2022"/>
    <n v="74137"/>
    <n v="72013"/>
    <n v="1300"/>
    <n v="824"/>
    <n v="750652"/>
    <n v="97.14"/>
    <n v="1.75"/>
    <n v="94.54"/>
    <n v="733218"/>
  </r>
  <r>
    <s v="Haiti"/>
    <x v="4"/>
    <n v="11680283"/>
    <n v="2023"/>
    <n v="34667"/>
    <n v="33734"/>
    <n v="860"/>
    <n v="73"/>
    <n v="9535807"/>
    <n v="97.31"/>
    <n v="2.48"/>
    <n v="81.64"/>
    <n v="132422"/>
  </r>
  <r>
    <s v="Honduras"/>
    <x v="4"/>
    <n v="10221247"/>
    <n v="2023"/>
    <n v="474590"/>
    <n v="235145.5"/>
    <n v="11165"/>
    <n v="228280"/>
    <n v="7163142"/>
    <n v="49.55"/>
    <n v="2.35"/>
    <n v="70.08"/>
    <n v="1660662"/>
  </r>
  <r>
    <s v="Hong-Kong"/>
    <x v="0"/>
    <n v="7604299"/>
    <n v="2023"/>
    <n v="2937609"/>
    <n v="2916005"/>
    <n v="14924"/>
    <n v="6680"/>
    <n v="7095685"/>
    <n v="99.26"/>
    <n v="0.51"/>
    <n v="93.31"/>
    <n v="76127725"/>
  </r>
  <r>
    <s v="Hungary"/>
    <x v="2"/>
    <n v="9606259"/>
    <n v="2022"/>
    <n v="2230232"/>
    <n v="2152155"/>
    <n v="49048"/>
    <n v="29029"/>
    <n v="5083476"/>
    <n v="96.5"/>
    <n v="2.2000000000000002"/>
    <n v="52.92"/>
    <n v="11394556"/>
  </r>
  <r>
    <s v="Iceland"/>
    <x v="2"/>
    <n v="345393"/>
    <n v="2023"/>
    <n v="209906"/>
    <n v="235145.5"/>
    <n v="229"/>
    <n v="0"/>
    <n v="209906"/>
    <n v="112.02"/>
    <n v="0.11"/>
    <n v="60.77"/>
    <n v="1996384"/>
  </r>
  <r>
    <s v="India"/>
    <x v="0"/>
    <n v="1406631776"/>
    <n v="2021"/>
    <n v="45035393"/>
    <n v="235145.5"/>
    <n v="533570"/>
    <n v="44266678"/>
    <n v="1117553948"/>
    <n v="0.52"/>
    <n v="1.18"/>
    <n v="79.45"/>
    <n v="935879495"/>
  </r>
  <r>
    <s v="Indonesia"/>
    <x v="0"/>
    <n v="279134505"/>
    <n v="2020"/>
    <n v="6829221"/>
    <n v="6647104"/>
    <n v="162063"/>
    <n v="20054"/>
    <n v="158093782"/>
    <n v="97.33"/>
    <n v="2.37"/>
    <n v="56.64"/>
    <n v="114158919"/>
  </r>
  <r>
    <s v="Iran"/>
    <x v="0"/>
    <n v="86022837"/>
    <n v="2020"/>
    <n v="7627186"/>
    <n v="235145.5"/>
    <n v="146811"/>
    <n v="7245230"/>
    <n v="73586424"/>
    <n v="3.08"/>
    <n v="1.92"/>
    <n v="85.54"/>
    <n v="57320267"/>
  </r>
  <r>
    <s v="Iraq"/>
    <x v="0"/>
    <n v="42164965"/>
    <n v="2022"/>
    <n v="2465545"/>
    <n v="2439497"/>
    <n v="25375"/>
    <n v="673"/>
    <n v="24422731"/>
    <n v="98.94"/>
    <n v="1.03"/>
    <n v="57.92"/>
    <n v="19544451"/>
  </r>
  <r>
    <s v="Ireland"/>
    <x v="2"/>
    <n v="5020199"/>
    <n v="2022"/>
    <n v="1734582"/>
    <n v="1724921"/>
    <n v="9491"/>
    <n v="170"/>
    <n v="4737030"/>
    <n v="99.44"/>
    <n v="0.55000000000000004"/>
    <n v="94.36"/>
    <n v="13083449"/>
  </r>
  <r>
    <s v="Isle-of-Man"/>
    <x v="2"/>
    <n v="85732"/>
    <n v="2022"/>
    <n v="38008"/>
    <n v="235145.5"/>
    <n v="116"/>
    <n v="0"/>
    <n v="65914"/>
    <n v="618.66999999999996"/>
    <n v="0.31"/>
    <n v="76.88"/>
    <n v="150753"/>
  </r>
  <r>
    <s v="Israel"/>
    <x v="0"/>
    <n v="9326000"/>
    <n v="2022"/>
    <n v="4841772"/>
    <n v="4798473"/>
    <n v="12707"/>
    <n v="30592"/>
    <n v="6935040"/>
    <n v="99.11"/>
    <n v="0.26"/>
    <n v="74.36"/>
    <n v="41373364"/>
  </r>
  <r>
    <s v="Italy"/>
    <x v="2"/>
    <n v="60262770"/>
    <n v="2022"/>
    <n v="26723249"/>
    <n v="26361218"/>
    <n v="196487"/>
    <n v="165544"/>
    <n v="40069839"/>
    <n v="98.65"/>
    <n v="0.74"/>
    <n v="66.489999999999995"/>
    <n v="281126449"/>
  </r>
  <r>
    <s v="Ivory-Coast"/>
    <x v="1"/>
    <n v="27742298"/>
    <n v="2020"/>
    <n v="88384"/>
    <n v="87497"/>
    <n v="835"/>
    <n v="52"/>
    <n v="20026238"/>
    <n v="99"/>
    <n v="0.94"/>
    <n v="72.19"/>
    <n v="1690934"/>
  </r>
  <r>
    <s v="Jamaica"/>
    <x v="4"/>
    <n v="2985094"/>
    <n v="2021"/>
    <n v="156869"/>
    <n v="235145.5"/>
    <n v="3756"/>
    <n v="0"/>
    <n v="2217395"/>
    <n v="149.9"/>
    <n v="2.39"/>
    <n v="74.28"/>
    <n v="1183986"/>
  </r>
  <r>
    <s v="Japan"/>
    <x v="0"/>
    <n v="125584838"/>
    <n v="2020"/>
    <n v="33803572"/>
    <n v="235145.5"/>
    <n v="74694"/>
    <n v="33493732"/>
    <n v="69565094"/>
    <n v="0.7"/>
    <n v="0.22"/>
    <n v="55.39"/>
    <n v="100414883"/>
  </r>
  <r>
    <s v="Jordan"/>
    <x v="0"/>
    <n v="10300869"/>
    <n v="2021"/>
    <n v="1746997"/>
    <n v="1731007"/>
    <n v="14122"/>
    <n v="1868"/>
    <n v="7677272"/>
    <n v="99.08"/>
    <n v="0.81"/>
    <n v="74.53"/>
    <n v="17201885"/>
  </r>
  <r>
    <s v="Kazakhstan"/>
    <x v="0"/>
    <n v="19205043"/>
    <n v="2022"/>
    <n v="1411831"/>
    <n v="1383020"/>
    <n v="13848"/>
    <n v="14963"/>
    <n v="16559986"/>
    <n v="97.96"/>
    <n v="0.98"/>
    <n v="86.23"/>
    <n v="11575012"/>
  </r>
  <r>
    <s v="Kenya"/>
    <x v="1"/>
    <n v="56215221"/>
    <n v="2020"/>
    <n v="344130"/>
    <n v="337309"/>
    <n v="5689"/>
    <n v="1132"/>
    <n v="48259195"/>
    <n v="98.02"/>
    <n v="1.65"/>
    <n v="85.85"/>
    <n v="3967062"/>
  </r>
  <r>
    <s v="Kiribati"/>
    <x v="6"/>
    <n v="123419"/>
    <n v="2021"/>
    <n v="5085"/>
    <n v="2703"/>
    <n v="24"/>
    <n v="2358"/>
    <n v="77351"/>
    <n v="53.16"/>
    <n v="0.47"/>
    <n v="62.67"/>
    <n v="2226216"/>
  </r>
  <r>
    <s v="Kuwait"/>
    <x v="0"/>
    <n v="4380326"/>
    <n v="2020"/>
    <n v="667158"/>
    <n v="235145.5"/>
    <n v="2570"/>
    <n v="429442"/>
    <n v="3405286"/>
    <n v="35.25"/>
    <n v="0.39"/>
    <n v="77.739999999999995"/>
    <n v="8455743"/>
  </r>
  <r>
    <s v="Kyrgyzstan"/>
    <x v="0"/>
    <n v="6728271"/>
    <n v="2023"/>
    <n v="206897"/>
    <n v="196406"/>
    <n v="2991"/>
    <n v="7500"/>
    <n v="6110429"/>
    <n v="94.93"/>
    <n v="1.45"/>
    <n v="90.82"/>
    <n v="1907195"/>
  </r>
  <r>
    <s v="Laos"/>
    <x v="0"/>
    <n v="7481023"/>
    <n v="2020"/>
    <n v="218970"/>
    <n v="235145.5"/>
    <n v="758"/>
    <n v="0"/>
    <n v="6407079"/>
    <n v="107.39"/>
    <n v="0.35"/>
    <n v="85.64"/>
    <n v="1233207"/>
  </r>
  <r>
    <s v="Latvia"/>
    <x v="2"/>
    <n v="1848837"/>
    <n v="2020"/>
    <n v="982505"/>
    <n v="971406"/>
    <n v="6715"/>
    <n v="4384"/>
    <n v="1254539"/>
    <n v="98.87"/>
    <n v="0.68"/>
    <n v="67.86"/>
    <n v="7885792"/>
  </r>
  <r>
    <s v="Lebanon"/>
    <x v="0"/>
    <n v="6684849"/>
    <n v="2022"/>
    <n v="1243838"/>
    <n v="1087587"/>
    <n v="10952"/>
    <n v="145299"/>
    <n v="3533101"/>
    <n v="87.44"/>
    <n v="0.88"/>
    <n v="52.85"/>
    <n v="4795578"/>
  </r>
  <r>
    <s v="Lesotho"/>
    <x v="1"/>
    <n v="2175699"/>
    <n v="2023"/>
    <n v="36138"/>
    <n v="25980"/>
    <n v="723"/>
    <n v="9435"/>
    <n v="1603812"/>
    <n v="71.89"/>
    <n v="2"/>
    <n v="73.709999999999994"/>
    <n v="431221"/>
  </r>
  <r>
    <s v="Liberia"/>
    <x v="1"/>
    <n v="5305117"/>
    <n v="2020"/>
    <n v="8090"/>
    <n v="7783"/>
    <n v="295"/>
    <n v="12"/>
    <n v="3979603"/>
    <n v="96.21"/>
    <n v="3.65"/>
    <n v="75.010000000000005"/>
    <n v="139824"/>
  </r>
  <r>
    <s v="Libya"/>
    <x v="1"/>
    <n v="7040745"/>
    <n v="2021"/>
    <n v="507274"/>
    <n v="500835"/>
    <n v="6437"/>
    <n v="2"/>
    <n v="4580474"/>
    <n v="98.73"/>
    <n v="1.27"/>
    <n v="65.06"/>
    <n v="2483848"/>
  </r>
  <r>
    <s v="Liechtenstein"/>
    <x v="2"/>
    <n v="38387"/>
    <n v="2023"/>
    <n v="21574"/>
    <n v="235145.5"/>
    <n v="94"/>
    <n v="0"/>
    <n v="31826"/>
    <n v="1089.95"/>
    <n v="0.44"/>
    <n v="82.91"/>
    <n v="112457"/>
  </r>
  <r>
    <s v="Lithuania"/>
    <x v="2"/>
    <n v="2661708"/>
    <n v="2022"/>
    <n v="1397806"/>
    <n v="1387478"/>
    <n v="9897"/>
    <n v="431"/>
    <n v="2171463"/>
    <n v="99.26"/>
    <n v="0.71"/>
    <n v="81.58"/>
    <n v="10540357"/>
  </r>
  <r>
    <s v="Luxembourg"/>
    <x v="2"/>
    <n v="642371"/>
    <n v="2021"/>
    <n v="391232"/>
    <n v="235145.5"/>
    <n v="1232"/>
    <n v="154854"/>
    <n v="473184"/>
    <n v="60.1"/>
    <n v="0.31"/>
    <n v="73.66"/>
    <n v="4587145"/>
  </r>
  <r>
    <s v="MS-Zaandam"/>
    <x v="1"/>
    <n v="5797805"/>
    <n v="2020"/>
    <n v="9"/>
    <n v="7"/>
    <n v="2"/>
    <n v="0"/>
    <n v="3823509"/>
    <n v="77.78"/>
    <n v="22.22"/>
    <n v="65.95"/>
    <n v="2226216"/>
  </r>
  <r>
    <s v="Macao"/>
    <x v="0"/>
    <n v="667490"/>
    <n v="2023"/>
    <n v="27673"/>
    <n v="3487"/>
    <n v="123"/>
    <n v="24063"/>
    <n v="459186"/>
    <n v="12.6"/>
    <n v="0.44"/>
    <n v="68.790000000000006"/>
    <n v="7850"/>
  </r>
  <r>
    <s v="Madagascar"/>
    <x v="1"/>
    <n v="29178077"/>
    <n v="2020"/>
    <n v="68486"/>
    <n v="66862"/>
    <n v="1426"/>
    <n v="198"/>
    <n v="16707211"/>
    <n v="97.63"/>
    <n v="2.08"/>
    <n v="57.26"/>
    <n v="531329"/>
  </r>
  <r>
    <s v="Malawi"/>
    <x v="1"/>
    <n v="20180839"/>
    <n v="2023"/>
    <n v="89535"/>
    <n v="235145.5"/>
    <n v="2686"/>
    <n v="0"/>
    <n v="14356646"/>
    <n v="262.63"/>
    <n v="3"/>
    <n v="71.14"/>
    <n v="624784"/>
  </r>
  <r>
    <s v="Malaysia"/>
    <x v="0"/>
    <n v="33181072"/>
    <n v="2021"/>
    <n v="5278406"/>
    <n v="5233268"/>
    <n v="37348"/>
    <n v="7790"/>
    <n v="23424576"/>
    <n v="99.14"/>
    <n v="0.71"/>
    <n v="70.599999999999994"/>
    <n v="68580916"/>
  </r>
  <r>
    <s v="Maldives"/>
    <x v="0"/>
    <n v="540985"/>
    <n v="2023"/>
    <n v="186694"/>
    <n v="163687"/>
    <n v="316"/>
    <n v="22691"/>
    <n v="318995"/>
    <n v="87.68"/>
    <n v="0.17"/>
    <n v="58.97"/>
    <n v="2213831"/>
  </r>
  <r>
    <s v="Mali"/>
    <x v="1"/>
    <n v="21473764"/>
    <n v="2023"/>
    <n v="33164"/>
    <n v="32332"/>
    <n v="743"/>
    <n v="89"/>
    <n v="19068775"/>
    <n v="97.49"/>
    <n v="2.2400000000000002"/>
    <n v="88.8"/>
    <n v="804909"/>
  </r>
  <r>
    <s v="Malta"/>
    <x v="2"/>
    <n v="444033"/>
    <n v="2020"/>
    <n v="121420"/>
    <n v="120149"/>
    <n v="885"/>
    <n v="386"/>
    <n v="217887"/>
    <n v="98.95"/>
    <n v="0.73"/>
    <n v="49.07"/>
    <n v="2170600"/>
  </r>
  <r>
    <s v="Marshall-Islands"/>
    <x v="6"/>
    <n v="60057"/>
    <n v="2021"/>
    <n v="16138"/>
    <n v="16121"/>
    <n v="17"/>
    <n v="0"/>
    <n v="54096"/>
    <n v="99.89"/>
    <n v="0.11"/>
    <n v="90.07"/>
    <n v="2226216"/>
  </r>
  <r>
    <s v="Martinique"/>
    <x v="4"/>
    <n v="374087"/>
    <n v="2023"/>
    <n v="230354"/>
    <n v="235145.5"/>
    <n v="1102"/>
    <n v="0"/>
    <n v="230354"/>
    <n v="102.08"/>
    <n v="0.48"/>
    <n v="61.58"/>
    <n v="828928"/>
  </r>
  <r>
    <s v="Mauritania"/>
    <x v="1"/>
    <n v="4901981"/>
    <n v="2023"/>
    <n v="63848"/>
    <n v="62471"/>
    <n v="997"/>
    <n v="380"/>
    <n v="3323954"/>
    <n v="97.84"/>
    <n v="1.56"/>
    <n v="67.81"/>
    <n v="1009957"/>
  </r>
  <r>
    <s v="Mauritius"/>
    <x v="1"/>
    <n v="1274727"/>
    <n v="2021"/>
    <n v="43025"/>
    <n v="41278"/>
    <n v="1051"/>
    <n v="696"/>
    <n v="652037"/>
    <n v="95.94"/>
    <n v="2.44"/>
    <n v="51.15"/>
    <n v="358675"/>
  </r>
  <r>
    <s v="Mayotte"/>
    <x v="1"/>
    <n v="286259"/>
    <n v="2022"/>
    <n v="42027"/>
    <n v="235145.5"/>
    <n v="188"/>
    <n v="0"/>
    <n v="215395"/>
    <n v="559.51"/>
    <n v="0.45"/>
    <n v="75.239999999999995"/>
    <n v="176919"/>
  </r>
  <r>
    <s v="Mexico"/>
    <x v="4"/>
    <n v="131562772"/>
    <n v="2022"/>
    <n v="7702809"/>
    <n v="6899865"/>
    <n v="334958"/>
    <n v="467986"/>
    <n v="118764285"/>
    <n v="89.58"/>
    <n v="4.3499999999999996"/>
    <n v="90.27"/>
    <n v="20013810"/>
  </r>
  <r>
    <s v="Micronesia"/>
    <x v="6"/>
    <n v="117489"/>
    <n v="2022"/>
    <n v="26547"/>
    <n v="235145.5"/>
    <n v="65"/>
    <n v="0"/>
    <n v="63903"/>
    <n v="885.77"/>
    <n v="0.24"/>
    <n v="54.39"/>
    <n v="82430"/>
  </r>
  <r>
    <s v="Moldova"/>
    <x v="2"/>
    <n v="4013171"/>
    <n v="2020"/>
    <n v="635145"/>
    <n v="235145.5"/>
    <n v="12218"/>
    <n v="387782"/>
    <n v="3469251"/>
    <n v="37.020000000000003"/>
    <n v="1.92"/>
    <n v="86.45"/>
    <n v="3216305"/>
  </r>
  <r>
    <s v="Monaco"/>
    <x v="2"/>
    <n v="39783"/>
    <n v="2020"/>
    <n v="17181"/>
    <n v="235145.5"/>
    <n v="67"/>
    <n v="0"/>
    <n v="22222"/>
    <n v="1368.64"/>
    <n v="0.39"/>
    <n v="55.86"/>
    <n v="78646"/>
  </r>
  <r>
    <s v="Mongolia"/>
    <x v="0"/>
    <n v="3378078"/>
    <n v="2021"/>
    <n v="1011496"/>
    <n v="1009212"/>
    <n v="2284"/>
    <n v="0"/>
    <n v="2535015"/>
    <n v="99.77"/>
    <n v="0.23"/>
    <n v="75.040000000000006"/>
    <n v="4030048"/>
  </r>
  <r>
    <s v="Montenegro"/>
    <x v="2"/>
    <n v="627950"/>
    <n v="2022"/>
    <n v="296542"/>
    <n v="291794"/>
    <n v="2846"/>
    <n v="1902"/>
    <n v="487599"/>
    <n v="98.4"/>
    <n v="0.96"/>
    <n v="77.650000000000006"/>
    <n v="2769281"/>
  </r>
  <r>
    <s v="Montserrat"/>
    <x v="4"/>
    <n v="4965"/>
    <n v="2022"/>
    <n v="1403"/>
    <n v="1376"/>
    <n v="8"/>
    <n v="19"/>
    <n v="4600"/>
    <n v="98.08"/>
    <n v="0.56999999999999995"/>
    <n v="92.65"/>
    <n v="17762"/>
  </r>
  <r>
    <s v="Morocco"/>
    <x v="1"/>
    <n v="37772756"/>
    <n v="2020"/>
    <n v="1278992"/>
    <n v="235145.5"/>
    <n v="16303"/>
    <n v="1027544"/>
    <n v="30362811"/>
    <n v="18.39"/>
    <n v="1.27"/>
    <n v="80.38"/>
    <n v="13001033"/>
  </r>
  <r>
    <s v="Mozambique"/>
    <x v="1"/>
    <n v="33089461"/>
    <n v="2022"/>
    <n v="233731"/>
    <n v="228805"/>
    <n v="2250"/>
    <n v="2676"/>
    <n v="16821681"/>
    <n v="97.89"/>
    <n v="0.96"/>
    <n v="50.84"/>
    <n v="1371127"/>
  </r>
  <r>
    <s v="Myanmar"/>
    <x v="0"/>
    <n v="55227143"/>
    <n v="2022"/>
    <n v="641873"/>
    <n v="620159"/>
    <n v="19495"/>
    <n v="2219"/>
    <n v="29712864"/>
    <n v="96.62"/>
    <n v="3.04"/>
    <n v="53.8"/>
    <n v="11711514"/>
  </r>
  <r>
    <s v="Namibia"/>
    <x v="1"/>
    <n v="2633874"/>
    <n v="2021"/>
    <n v="172389"/>
    <n v="167099"/>
    <n v="4106"/>
    <n v="1184"/>
    <n v="2385537"/>
    <n v="96.93"/>
    <n v="2.38"/>
    <n v="90.57"/>
    <n v="1062663"/>
  </r>
  <r>
    <s v="Nauru"/>
    <x v="6"/>
    <n v="10903"/>
    <n v="2021"/>
    <n v="5393"/>
    <n v="5347"/>
    <n v="1"/>
    <n v="45"/>
    <n v="5702"/>
    <n v="99.15"/>
    <n v="0.02"/>
    <n v="52.3"/>
    <n v="20509"/>
  </r>
  <r>
    <s v="Nepal"/>
    <x v="0"/>
    <n v="30225582"/>
    <n v="2020"/>
    <n v="1003450"/>
    <n v="991322"/>
    <n v="12031"/>
    <n v="97"/>
    <n v="24311989"/>
    <n v="98.79"/>
    <n v="1.2"/>
    <n v="80.44"/>
    <n v="6047766"/>
  </r>
  <r>
    <s v="Netherlands"/>
    <x v="2"/>
    <n v="17211447"/>
    <n v="2023"/>
    <n v="8635786"/>
    <n v="8612599"/>
    <n v="22992"/>
    <n v="195"/>
    <n v="15109992"/>
    <n v="99.73"/>
    <n v="0.27"/>
    <n v="87.79"/>
    <n v="25984435"/>
  </r>
  <r>
    <s v="New-Caledonia"/>
    <x v="6"/>
    <n v="290915"/>
    <n v="2023"/>
    <n v="80064"/>
    <n v="235145.5"/>
    <n v="314"/>
    <n v="0"/>
    <n v="173346"/>
    <n v="293.7"/>
    <n v="0.39"/>
    <n v="59.59"/>
    <n v="98964"/>
  </r>
  <r>
    <s v="New-Zealand"/>
    <x v="6"/>
    <n v="4898203"/>
    <n v="2023"/>
    <n v="2621111"/>
    <n v="2613791"/>
    <n v="5697"/>
    <n v="1623"/>
    <n v="2621111"/>
    <n v="99.72"/>
    <n v="0.22"/>
    <n v="53.51"/>
    <n v="7768604"/>
  </r>
  <r>
    <s v="Nicaragua"/>
    <x v="4"/>
    <n v="6779100"/>
    <n v="2022"/>
    <n v="18491"/>
    <n v="4225"/>
    <n v="225"/>
    <n v="14041"/>
    <n v="3431012"/>
    <n v="22.85"/>
    <n v="1.22"/>
    <n v="50.61"/>
    <n v="2226216"/>
  </r>
  <r>
    <s v="Niger"/>
    <x v="1"/>
    <n v="26083660"/>
    <n v="2023"/>
    <n v="9931"/>
    <n v="8890"/>
    <n v="312"/>
    <n v="729"/>
    <n v="24021420"/>
    <n v="89.52"/>
    <n v="3.14"/>
    <n v="92.09"/>
    <n v="254538"/>
  </r>
  <r>
    <s v="Nigeria"/>
    <x v="1"/>
    <n v="216746934"/>
    <n v="2022"/>
    <n v="267188"/>
    <n v="259953"/>
    <n v="3155"/>
    <n v="4080"/>
    <n v="101755255"/>
    <n v="97.29"/>
    <n v="1.18"/>
    <n v="46.95"/>
    <n v="5708974"/>
  </r>
  <r>
    <s v="Niue"/>
    <x v="6"/>
    <n v="1622"/>
    <n v="2021"/>
    <n v="1059"/>
    <n v="1056"/>
    <n v="2570"/>
    <n v="0"/>
    <n v="1501"/>
    <n v="99.72"/>
    <n v="242.68"/>
    <n v="92.54"/>
    <n v="2226216"/>
  </r>
  <r>
    <s v="North-America"/>
    <x v="4"/>
    <n v="5797805"/>
    <n v="2020"/>
    <n v="131889132"/>
    <n v="127665129"/>
    <n v="1695941"/>
    <n v="2528062"/>
    <n v="5797805"/>
    <n v="96.8"/>
    <n v="1.29"/>
    <n v="100"/>
    <n v="2226216"/>
  </r>
  <r>
    <s v="North-Macedonia"/>
    <x v="2"/>
    <n v="2081304"/>
    <n v="2021"/>
    <n v="350567"/>
    <n v="337068"/>
    <n v="9976"/>
    <n v="3523"/>
    <n v="1340294"/>
    <n v="96.15"/>
    <n v="2.85"/>
    <n v="64.400000000000006"/>
    <n v="2226216"/>
  </r>
  <r>
    <s v="Norway"/>
    <x v="2"/>
    <n v="5511370"/>
    <n v="2022"/>
    <n v="1509732"/>
    <n v="1503094"/>
    <n v="6638"/>
    <n v="0"/>
    <n v="2989216"/>
    <n v="99.56"/>
    <n v="0.44"/>
    <n v="54.24"/>
    <n v="11002430"/>
  </r>
  <r>
    <s v="Oceania"/>
    <x v="6"/>
    <n v="5797805"/>
    <n v="2021"/>
    <n v="14895771"/>
    <n v="14752388"/>
    <n v="33015"/>
    <n v="110368"/>
    <n v="5797805"/>
    <n v="99.04"/>
    <n v="0.22"/>
    <n v="100"/>
    <n v="2226216"/>
  </r>
  <r>
    <s v="Oman"/>
    <x v="0"/>
    <n v="5323993"/>
    <n v="2021"/>
    <n v="399449"/>
    <n v="235145.5"/>
    <n v="4628"/>
    <n v="159676"/>
    <n v="3327810"/>
    <n v="58.87"/>
    <n v="1.1599999999999999"/>
    <n v="62.51"/>
    <n v="25000000"/>
  </r>
  <r>
    <s v="Pakistan"/>
    <x v="0"/>
    <n v="229488994"/>
    <n v="2020"/>
    <n v="1581936"/>
    <n v="1538689"/>
    <n v="30664"/>
    <n v="12583"/>
    <n v="119564173"/>
    <n v="97.27"/>
    <n v="1.94"/>
    <n v="52.1"/>
    <n v="30589153"/>
  </r>
  <r>
    <s v="Palau"/>
    <x v="6"/>
    <n v="18233"/>
    <n v="2020"/>
    <n v="6290"/>
    <n v="6276"/>
    <n v="10"/>
    <n v="4"/>
    <n v="14047"/>
    <n v="99.78"/>
    <n v="0.16"/>
    <n v="77.040000000000006"/>
    <n v="71434"/>
  </r>
  <r>
    <s v="Palestine"/>
    <x v="0"/>
    <n v="5345541"/>
    <n v="2021"/>
    <n v="621008"/>
    <n v="615445"/>
    <n v="5404"/>
    <n v="159"/>
    <n v="4802415"/>
    <n v="99.1"/>
    <n v="0.87"/>
    <n v="89.84"/>
    <n v="3078533"/>
  </r>
  <r>
    <s v="Panama"/>
    <x v="4"/>
    <n v="4446964"/>
    <n v="2021"/>
    <n v="1059893"/>
    <n v="1051102"/>
    <n v="8727"/>
    <n v="64"/>
    <n v="3392660"/>
    <n v="99.17"/>
    <n v="0.82"/>
    <n v="76.290000000000006"/>
    <n v="7882622"/>
  </r>
  <r>
    <s v="Papua-New-Guinea"/>
    <x v="6"/>
    <n v="9292169"/>
    <n v="2021"/>
    <n v="46864"/>
    <n v="46168"/>
    <n v="670"/>
    <n v="26"/>
    <n v="4918704"/>
    <n v="98.51"/>
    <n v="1.43"/>
    <n v="52.93"/>
    <n v="249149"/>
  </r>
  <r>
    <s v="Paraguay"/>
    <x v="5"/>
    <n v="7305843"/>
    <n v="2020"/>
    <n v="837602"/>
    <n v="235145.5"/>
    <n v="20155"/>
    <n v="582302"/>
    <n v="5812485"/>
    <n v="28.07"/>
    <n v="2.41"/>
    <n v="79.56"/>
    <n v="2657506"/>
  </r>
  <r>
    <s v="Peru"/>
    <x v="5"/>
    <n v="33684208"/>
    <n v="2022"/>
    <n v="4572667"/>
    <n v="4350506"/>
    <n v="222161"/>
    <n v="0"/>
    <n v="20515451"/>
    <n v="95.14"/>
    <n v="4.8600000000000003"/>
    <n v="60.91"/>
    <n v="39010194"/>
  </r>
  <r>
    <s v="Philippines"/>
    <x v="0"/>
    <n v="112508994"/>
    <n v="2021"/>
    <n v="4140383"/>
    <n v="4067381"/>
    <n v="66864"/>
    <n v="6138"/>
    <n v="86283795"/>
    <n v="98.24"/>
    <n v="1.61"/>
    <n v="76.69"/>
    <n v="36102746"/>
  </r>
  <r>
    <s v="Poland"/>
    <x v="2"/>
    <n v="37739785"/>
    <n v="2021"/>
    <n v="6661991"/>
    <n v="235145.5"/>
    <n v="120598"/>
    <n v="6306248"/>
    <n v="25196013"/>
    <n v="3.53"/>
    <n v="1.81"/>
    <n v="66.760000000000005"/>
    <n v="39323709"/>
  </r>
  <r>
    <s v="Portugal"/>
    <x v="2"/>
    <n v="10140570"/>
    <n v="2022"/>
    <n v="5643062"/>
    <n v="5614809"/>
    <n v="28126"/>
    <n v="127"/>
    <n v="5643062"/>
    <n v="99.5"/>
    <n v="0.5"/>
    <n v="55.65"/>
    <n v="46139518"/>
  </r>
  <r>
    <s v="Qatar"/>
    <x v="0"/>
    <n v="2979915"/>
    <n v="2020"/>
    <n v="514524"/>
    <n v="513687"/>
    <n v="690"/>
    <n v="147"/>
    <n v="2113834"/>
    <n v="99.84"/>
    <n v="0.13"/>
    <n v="70.94"/>
    <n v="4065369"/>
  </r>
  <r>
    <s v="R&amp;eacute;union"/>
    <x v="1"/>
    <n v="908061"/>
    <n v="2020"/>
    <n v="494595"/>
    <n v="235145.5"/>
    <n v="921"/>
    <n v="258528"/>
    <n v="494595"/>
    <n v="47.54"/>
    <n v="0.19"/>
    <n v="54.47"/>
    <n v="1603660"/>
  </r>
  <r>
    <s v="Romania"/>
    <x v="2"/>
    <n v="19031335"/>
    <n v="2023"/>
    <n v="3529735"/>
    <n v="3460149"/>
    <n v="68929"/>
    <n v="657"/>
    <n v="13058892"/>
    <n v="98.03"/>
    <n v="1.95"/>
    <n v="68.62"/>
    <n v="28758667"/>
  </r>
  <r>
    <s v="Russia"/>
    <x v="2"/>
    <n v="145805947"/>
    <n v="2020"/>
    <n v="24124215"/>
    <n v="23545818"/>
    <n v="402756"/>
    <n v="175641"/>
    <n v="113660197"/>
    <n v="97.6"/>
    <n v="1.67"/>
    <n v="77.95"/>
    <n v="273400000"/>
  </r>
  <r>
    <s v="Rwanda"/>
    <x v="1"/>
    <n v="13600464"/>
    <n v="2021"/>
    <n v="133518"/>
    <n v="132039"/>
    <n v="1468"/>
    <n v="11"/>
    <n v="8656556"/>
    <n v="98.89"/>
    <n v="1.1000000000000001"/>
    <n v="63.65"/>
    <n v="6021981"/>
  </r>
  <r>
    <s v="S-Korea"/>
    <x v="0"/>
    <n v="51329899"/>
    <n v="2022"/>
    <n v="34571873"/>
    <n v="34535939"/>
    <n v="35934"/>
    <n v="0"/>
    <n v="34571873"/>
    <n v="99.9"/>
    <n v="0.1"/>
    <n v="67.349999999999994"/>
    <n v="15804065"/>
  </r>
  <r>
    <s v="Saint-Helena"/>
    <x v="1"/>
    <n v="6115"/>
    <n v="2022"/>
    <n v="2166"/>
    <n v="2"/>
    <n v="2570"/>
    <n v="0"/>
    <n v="3816"/>
    <n v="0.09"/>
    <n v="118.65"/>
    <n v="62.4"/>
    <n v="2226216"/>
  </r>
  <r>
    <s v="Saint-Kitts-and-Nevis"/>
    <x v="4"/>
    <n v="53871"/>
    <n v="2021"/>
    <n v="6607"/>
    <n v="6559"/>
    <n v="48"/>
    <n v="0"/>
    <n v="43971"/>
    <n v="99.27"/>
    <n v="0.73"/>
    <n v="81.62"/>
    <n v="126958"/>
  </r>
  <r>
    <s v="Saint-Lucia"/>
    <x v="4"/>
    <n v="185113"/>
    <n v="2022"/>
    <n v="30215"/>
    <n v="29805"/>
    <n v="410"/>
    <n v="0"/>
    <n v="108646"/>
    <n v="98.64"/>
    <n v="1.36"/>
    <n v="58.69"/>
    <n v="210983"/>
  </r>
  <r>
    <s v="Saint-Martin"/>
    <x v="4"/>
    <n v="39730"/>
    <n v="2020"/>
    <n v="12324"/>
    <n v="235145.5"/>
    <n v="63"/>
    <n v="0"/>
    <n v="26464"/>
    <n v="1908.03"/>
    <n v="0.51"/>
    <n v="66.61"/>
    <n v="112382"/>
  </r>
  <r>
    <s v="Saint-Pierre-Miquelon"/>
    <x v="4"/>
    <n v="5759"/>
    <n v="2022"/>
    <n v="3452"/>
    <n v="2449"/>
    <n v="2"/>
    <n v="1001"/>
    <n v="4273"/>
    <n v="70.94"/>
    <n v="0.06"/>
    <n v="74.2"/>
    <n v="25400"/>
  </r>
  <r>
    <s v="Samoa"/>
    <x v="6"/>
    <n v="202239"/>
    <n v="2020"/>
    <n v="17006"/>
    <n v="1605"/>
    <n v="31"/>
    <n v="15370"/>
    <n v="178707"/>
    <n v="9.44"/>
    <n v="0.18"/>
    <n v="88.36"/>
    <n v="187397"/>
  </r>
  <r>
    <s v="San-Marino"/>
    <x v="2"/>
    <n v="34085"/>
    <n v="2021"/>
    <n v="26185"/>
    <n v="26011"/>
    <n v="128"/>
    <n v="46"/>
    <n v="26185"/>
    <n v="99.34"/>
    <n v="0.49"/>
    <n v="76.819999999999993"/>
    <n v="196855"/>
  </r>
  <r>
    <s v="Sao-Tome-and-Principe"/>
    <x v="1"/>
    <n v="227679"/>
    <n v="2023"/>
    <n v="6778"/>
    <n v="6685"/>
    <n v="80"/>
    <n v="13"/>
    <n v="200313"/>
    <n v="98.63"/>
    <n v="1.18"/>
    <n v="87.98"/>
    <n v="29600"/>
  </r>
  <r>
    <s v="Saudi-Arabia"/>
    <x v="0"/>
    <n v="35844909"/>
    <n v="2021"/>
    <n v="841469"/>
    <n v="235145.5"/>
    <n v="9646"/>
    <n v="596678"/>
    <n v="19267758"/>
    <n v="27.94"/>
    <n v="1.1499999999999999"/>
    <n v="53.75"/>
    <n v="45481735"/>
  </r>
  <r>
    <s v="Senegal"/>
    <x v="1"/>
    <n v="17653671"/>
    <n v="2020"/>
    <n v="89053"/>
    <n v="87024"/>
    <n v="1971"/>
    <n v="58"/>
    <n v="8694967"/>
    <n v="97.72"/>
    <n v="2.21"/>
    <n v="49.25"/>
    <n v="1146543"/>
  </r>
  <r>
    <s v="Serbia"/>
    <x v="2"/>
    <n v="8653016"/>
    <n v="2022"/>
    <n v="2615054"/>
    <n v="2596608"/>
    <n v="18057"/>
    <n v="389"/>
    <n v="5033110"/>
    <n v="99.29"/>
    <n v="0.69"/>
    <n v="58.17"/>
    <n v="13463733"/>
  </r>
  <r>
    <s v="Seychelles"/>
    <x v="1"/>
    <n v="99426"/>
    <n v="2022"/>
    <n v="51220"/>
    <n v="51048"/>
    <n v="172"/>
    <n v="0"/>
    <n v="88138"/>
    <n v="99.66"/>
    <n v="0.34"/>
    <n v="88.65"/>
    <n v="2226216"/>
  </r>
  <r>
    <s v="Sierra-Leone"/>
    <x v="1"/>
    <n v="8306436"/>
    <n v="2023"/>
    <n v="7779"/>
    <n v="235145.5"/>
    <n v="126"/>
    <n v="0"/>
    <n v="4975474"/>
    <n v="3022.82"/>
    <n v="1.62"/>
    <n v="59.9"/>
    <n v="259958"/>
  </r>
  <r>
    <s v="Singapore"/>
    <x v="0"/>
    <n v="5943546"/>
    <n v="2020"/>
    <n v="3006155"/>
    <n v="3004131"/>
    <n v="2024"/>
    <n v="0"/>
    <n v="3006155"/>
    <n v="99.93"/>
    <n v="7.0000000000000007E-2"/>
    <n v="50.58"/>
    <n v="24756666"/>
  </r>
  <r>
    <s v="Sint-Maarten"/>
    <x v="4"/>
    <n v="43966"/>
    <n v="2020"/>
    <n v="11051"/>
    <n v="10905"/>
    <n v="92"/>
    <n v="54"/>
    <n v="36270"/>
    <n v="98.68"/>
    <n v="0.83"/>
    <n v="82.5"/>
    <n v="62056"/>
  </r>
  <r>
    <s v="Slovakia"/>
    <x v="2"/>
    <n v="5460193"/>
    <n v="2020"/>
    <n v="1877605"/>
    <n v="1856381"/>
    <n v="21224"/>
    <n v="0"/>
    <n v="3610887"/>
    <n v="98.87"/>
    <n v="1.1299999999999999"/>
    <n v="66.13"/>
    <n v="7448789"/>
  </r>
  <r>
    <s v="Slovenia"/>
    <x v="2"/>
    <n v="2078034"/>
    <n v="2023"/>
    <n v="1356546"/>
    <n v="1349424"/>
    <n v="7100"/>
    <n v="22"/>
    <n v="1356546"/>
    <n v="99.47"/>
    <n v="0.52"/>
    <n v="65.28"/>
    <n v="2847701"/>
  </r>
  <r>
    <s v="Solomon-Islands"/>
    <x v="6"/>
    <n v="721159"/>
    <n v="2023"/>
    <n v="25954"/>
    <n v="235145.5"/>
    <n v="199"/>
    <n v="0"/>
    <n v="674426"/>
    <n v="906.01"/>
    <n v="0.77"/>
    <n v="93.52"/>
    <n v="2226216"/>
  </r>
  <r>
    <s v="Somalia"/>
    <x v="1"/>
    <n v="16841795"/>
    <n v="2022"/>
    <n v="27334"/>
    <n v="13182"/>
    <n v="1361"/>
    <n v="12791"/>
    <n v="11196105"/>
    <n v="48.23"/>
    <n v="4.9800000000000004"/>
    <n v="66.48"/>
    <n v="400466"/>
  </r>
  <r>
    <s v="South-Africa"/>
    <x v="1"/>
    <n v="60756135"/>
    <n v="2023"/>
    <n v="4076463"/>
    <n v="3912506"/>
    <n v="102595"/>
    <n v="61362"/>
    <n v="37034036"/>
    <n v="95.98"/>
    <n v="2.52"/>
    <n v="60.96"/>
    <n v="26795090"/>
  </r>
  <r>
    <s v="South-America"/>
    <x v="5"/>
    <n v="5797805"/>
    <n v="2020"/>
    <n v="70200879"/>
    <n v="66683585"/>
    <n v="1367332"/>
    <n v="2149962"/>
    <n v="5797805"/>
    <n v="94.99"/>
    <n v="1.95"/>
    <n v="100"/>
    <n v="2226216"/>
  </r>
  <r>
    <s v="South-Sudan"/>
    <x v="1"/>
    <n v="11618511"/>
    <n v="2020"/>
    <n v="18819"/>
    <n v="18115"/>
    <n v="147"/>
    <n v="557"/>
    <n v="10108506"/>
    <n v="96.26"/>
    <n v="0.78"/>
    <n v="87"/>
    <n v="410280"/>
  </r>
  <r>
    <s v="Spain"/>
    <x v="2"/>
    <n v="46719142"/>
    <n v="2023"/>
    <n v="13914811"/>
    <n v="13762417"/>
    <n v="121760"/>
    <n v="30634"/>
    <n v="39156061"/>
    <n v="98.9"/>
    <n v="0.88"/>
    <n v="83.81"/>
    <n v="471036328"/>
  </r>
  <r>
    <s v="Sri-Lanka"/>
    <x v="0"/>
    <n v="21575842"/>
    <n v="2020"/>
    <n v="672754"/>
    <n v="655852"/>
    <n v="16897"/>
    <n v="5"/>
    <n v="10652333"/>
    <n v="97.49"/>
    <n v="2.5099999999999998"/>
    <n v="49.37"/>
    <n v="6486117"/>
  </r>
  <r>
    <s v="St-Barth"/>
    <x v="4"/>
    <n v="9945"/>
    <n v="2021"/>
    <n v="5507"/>
    <n v="235145.5"/>
    <n v="6"/>
    <n v="0"/>
    <n v="8509"/>
    <n v="4269.9399999999996"/>
    <n v="0.11"/>
    <n v="85.56"/>
    <n v="78646"/>
  </r>
  <r>
    <s v="St-Vincent-Grenadines"/>
    <x v="4"/>
    <n v="111551"/>
    <n v="2020"/>
    <n v="9674"/>
    <n v="9493"/>
    <n v="124"/>
    <n v="57"/>
    <n v="55906"/>
    <n v="98.13"/>
    <n v="1.28"/>
    <n v="50.12"/>
    <n v="114197"/>
  </r>
  <r>
    <s v="Sudan"/>
    <x v="1"/>
    <n v="45992020"/>
    <n v="2021"/>
    <n v="63993"/>
    <n v="58947"/>
    <n v="5046"/>
    <n v="0"/>
    <n v="34580347"/>
    <n v="92.11"/>
    <n v="7.89"/>
    <n v="75.19"/>
    <n v="562941"/>
  </r>
  <r>
    <s v="Suriname"/>
    <x v="5"/>
    <n v="596831"/>
    <n v="2022"/>
    <n v="82588"/>
    <n v="235145.5"/>
    <n v="1408"/>
    <n v="0"/>
    <n v="534107"/>
    <n v="284.72000000000003"/>
    <n v="1.7"/>
    <n v="89.49"/>
    <n v="242207"/>
  </r>
  <r>
    <s v="Sweden"/>
    <x v="2"/>
    <n v="10218971"/>
    <n v="2021"/>
    <n v="2754129"/>
    <n v="2726492"/>
    <n v="27407"/>
    <n v="230"/>
    <n v="4918801"/>
    <n v="99"/>
    <n v="1"/>
    <n v="48.13"/>
    <n v="19500873"/>
  </r>
  <r>
    <s v="Switzerland"/>
    <x v="2"/>
    <n v="8773637"/>
    <n v="2021"/>
    <n v="4453053"/>
    <n v="4438309"/>
    <n v="14452"/>
    <n v="292"/>
    <n v="6339394"/>
    <n v="99.67"/>
    <n v="0.32"/>
    <n v="72.260000000000005"/>
    <n v="23833472"/>
  </r>
  <r>
    <s v="Syria"/>
    <x v="0"/>
    <n v="19364809"/>
    <n v="2021"/>
    <n v="57743"/>
    <n v="54578"/>
    <n v="3165"/>
    <n v="0"/>
    <n v="11415676"/>
    <n v="94.52"/>
    <n v="5.48"/>
    <n v="58.95"/>
    <n v="146269"/>
  </r>
  <r>
    <s v="Taiwan"/>
    <x v="0"/>
    <n v="23888595"/>
    <n v="2020"/>
    <n v="10241523"/>
    <n v="10222518"/>
    <n v="19005"/>
    <n v="0"/>
    <n v="13674432"/>
    <n v="99.81"/>
    <n v="0.19"/>
    <n v="57.24"/>
    <n v="30742304"/>
  </r>
  <r>
    <s v="Tajikistan"/>
    <x v="0"/>
    <n v="9957464"/>
    <n v="2020"/>
    <n v="17786"/>
    <n v="17264"/>
    <n v="125"/>
    <n v="397"/>
    <n v="7516543"/>
    <n v="97.07"/>
    <n v="0.7"/>
    <n v="75.489999999999995"/>
    <n v="2226216"/>
  </r>
  <r>
    <s v="Tanzania"/>
    <x v="1"/>
    <n v="63298550"/>
    <n v="2022"/>
    <n v="43223"/>
    <n v="235145.5"/>
    <n v="846"/>
    <n v="0"/>
    <n v="29995551"/>
    <n v="544.03"/>
    <n v="1.96"/>
    <n v="47.39"/>
    <n v="2226216"/>
  </r>
  <r>
    <s v="Thailand"/>
    <x v="0"/>
    <n v="70078203"/>
    <n v="2022"/>
    <n v="4770149"/>
    <n v="4692636"/>
    <n v="34586"/>
    <n v="42927"/>
    <n v="59556859"/>
    <n v="98.38"/>
    <n v="0.73"/>
    <n v="84.99"/>
    <n v="17273454"/>
  </r>
  <r>
    <s v="Timor-Leste"/>
    <x v="0"/>
    <n v="1369429"/>
    <n v="2023"/>
    <n v="23460"/>
    <n v="23102"/>
    <n v="138"/>
    <n v="220"/>
    <n v="880357"/>
    <n v="98.47"/>
    <n v="0.59"/>
    <n v="64.290000000000006"/>
    <n v="278529"/>
  </r>
  <r>
    <s v="Togo"/>
    <x v="1"/>
    <n v="8680837"/>
    <n v="2022"/>
    <n v="39572"/>
    <n v="39281"/>
    <n v="290"/>
    <n v="1"/>
    <n v="6260518"/>
    <n v="99.26"/>
    <n v="0.73"/>
    <n v="72.12"/>
    <n v="815204"/>
  </r>
  <r>
    <s v="Tokelau"/>
    <x v="6"/>
    <n v="1378"/>
    <n v="2021"/>
    <n v="80"/>
    <n v="235145.5"/>
    <n v="2570"/>
    <n v="0"/>
    <n v="1271"/>
    <n v="293931.88"/>
    <n v="3212.5"/>
    <n v="92.24"/>
    <n v="2226216"/>
  </r>
  <r>
    <s v="Tonga"/>
    <x v="6"/>
    <n v="107749"/>
    <n v="2022"/>
    <n v="16950"/>
    <n v="15638"/>
    <n v="13"/>
    <n v="1299"/>
    <n v="96228"/>
    <n v="92.26"/>
    <n v="0.08"/>
    <n v="89.31"/>
    <n v="535009"/>
  </r>
  <r>
    <s v="Trinidad-and-Tobago"/>
    <x v="4"/>
    <n v="1406585"/>
    <n v="2020"/>
    <n v="191496"/>
    <n v="187078"/>
    <n v="4390"/>
    <n v="28"/>
    <n v="674380"/>
    <n v="97.69"/>
    <n v="2.29"/>
    <n v="47.94"/>
    <n v="913289"/>
  </r>
  <r>
    <s v="Tunisia"/>
    <x v="1"/>
    <n v="12046656"/>
    <n v="2023"/>
    <n v="1153361"/>
    <n v="235145.5"/>
    <n v="29423"/>
    <n v="888792"/>
    <n v="6765230"/>
    <n v="20.39"/>
    <n v="2.5499999999999998"/>
    <n v="56.16"/>
    <n v="5013383"/>
  </r>
  <r>
    <s v="Turkey"/>
    <x v="0"/>
    <n v="85561976"/>
    <n v="2022"/>
    <n v="17232066"/>
    <n v="235145.5"/>
    <n v="102174"/>
    <n v="16894746"/>
    <n v="61846852"/>
    <n v="1.36"/>
    <n v="0.59"/>
    <n v="72.28"/>
    <n v="162743369"/>
  </r>
  <r>
    <s v="Turks-and-Caicos"/>
    <x v="4"/>
    <n v="39741"/>
    <n v="2023"/>
    <n v="6752"/>
    <n v="6709"/>
    <n v="40"/>
    <n v="3"/>
    <n v="23571"/>
    <n v="99.36"/>
    <n v="0.59"/>
    <n v="59.31"/>
    <n v="616788"/>
  </r>
  <r>
    <s v="Tuvalu"/>
    <x v="6"/>
    <n v="12066"/>
    <n v="2021"/>
    <n v="2943"/>
    <n v="235145.5"/>
    <n v="1"/>
    <n v="0"/>
    <n v="6774"/>
    <n v="7989.99"/>
    <n v="0.03"/>
    <n v="56.14"/>
    <n v="2226216"/>
  </r>
  <r>
    <s v="UAE"/>
    <x v="0"/>
    <n v="10081785"/>
    <n v="2020"/>
    <n v="1067030"/>
    <n v="235145.5"/>
    <n v="2349"/>
    <n v="829536"/>
    <n v="6471145"/>
    <n v="22.04"/>
    <n v="0.22"/>
    <n v="64.19"/>
    <n v="200732262"/>
  </r>
  <r>
    <s v="UK"/>
    <x v="2"/>
    <n v="68497907"/>
    <n v="2023"/>
    <n v="24910387"/>
    <n v="24678275"/>
    <n v="232112"/>
    <n v="0"/>
    <n v="34938064"/>
    <n v="99.07"/>
    <n v="0.93"/>
    <n v="51.01"/>
    <n v="522526476"/>
  </r>
  <r>
    <s v="USA"/>
    <x v="4"/>
    <n v="334805269"/>
    <n v="2020"/>
    <n v="111820082"/>
    <n v="109814428"/>
    <n v="1219487"/>
    <n v="786167"/>
    <n v="317607199"/>
    <n v="98.21"/>
    <n v="1.0900000000000001"/>
    <n v="94.86"/>
    <n v="1186851502"/>
  </r>
  <r>
    <s v="Uganda"/>
    <x v="1"/>
    <n v="48432863"/>
    <n v="2020"/>
    <n v="172149"/>
    <n v="100431"/>
    <n v="3632"/>
    <n v="68086"/>
    <n v="42470154"/>
    <n v="58.34"/>
    <n v="2.11"/>
    <n v="87.69"/>
    <n v="3012408"/>
  </r>
  <r>
    <s v="Ukraine"/>
    <x v="2"/>
    <n v="43192122"/>
    <n v="2022"/>
    <n v="5557995"/>
    <n v="5445577"/>
    <n v="112418"/>
    <n v="0"/>
    <n v="37636387"/>
    <n v="97.98"/>
    <n v="2.02"/>
    <n v="87.14"/>
    <n v="32603805"/>
  </r>
  <r>
    <s v="Uruguay"/>
    <x v="5"/>
    <n v="3496016"/>
    <n v="2022"/>
    <n v="1041111"/>
    <n v="1030944"/>
    <n v="7664"/>
    <n v="2503"/>
    <n v="2780356"/>
    <n v="99.02"/>
    <n v="0.74"/>
    <n v="79.53"/>
    <n v="6114822"/>
  </r>
  <r>
    <s v="Uzbekistan"/>
    <x v="0"/>
    <n v="34382084"/>
    <n v="2022"/>
    <n v="253662"/>
    <n v="241486"/>
    <n v="1637"/>
    <n v="10539"/>
    <n v="26507689"/>
    <n v="95.2"/>
    <n v="0.65"/>
    <n v="77.099999999999994"/>
    <n v="1377915"/>
  </r>
  <r>
    <s v="Vanuatu"/>
    <x v="6"/>
    <n v="321832"/>
    <n v="2023"/>
    <n v="12019"/>
    <n v="11976"/>
    <n v="14"/>
    <n v="29"/>
    <n v="264281"/>
    <n v="99.64"/>
    <n v="0.12"/>
    <n v="82.12"/>
    <n v="24976"/>
  </r>
  <r>
    <s v="Vatican-City"/>
    <x v="2"/>
    <n v="799"/>
    <n v="2020"/>
    <n v="29"/>
    <n v="29"/>
    <n v="2570"/>
    <n v="0"/>
    <n v="561"/>
    <n v="100"/>
    <n v="8862.07"/>
    <n v="70.209999999999994"/>
    <n v="2226216"/>
  </r>
  <r>
    <s v="Venezuela"/>
    <x v="5"/>
    <n v="29266991"/>
    <n v="2020"/>
    <n v="552695"/>
    <n v="546537"/>
    <n v="5856"/>
    <n v="302"/>
    <n v="26640736"/>
    <n v="98.89"/>
    <n v="1.06"/>
    <n v="91.03"/>
    <n v="3359014"/>
  </r>
  <r>
    <s v="Vietnam"/>
    <x v="0"/>
    <n v="98953541"/>
    <n v="2023"/>
    <n v="11625195"/>
    <n v="10640971"/>
    <n v="43206"/>
    <n v="941018"/>
    <n v="82033915"/>
    <n v="91.53"/>
    <n v="0.37"/>
    <n v="82.9"/>
    <n v="85826548"/>
  </r>
  <r>
    <s v="Wallis-and-Futuna"/>
    <x v="6"/>
    <n v="10982"/>
    <n v="2022"/>
    <n v="3550"/>
    <n v="438"/>
    <n v="8"/>
    <n v="3104"/>
    <n v="8729"/>
    <n v="12.34"/>
    <n v="0.23"/>
    <n v="79.48"/>
    <n v="20508"/>
  </r>
  <r>
    <s v="Western-Sahara"/>
    <x v="1"/>
    <n v="626161"/>
    <n v="2022"/>
    <n v="10"/>
    <n v="9"/>
    <n v="1"/>
    <n v="0"/>
    <n v="424296"/>
    <n v="90"/>
    <n v="10"/>
    <n v="67.760000000000005"/>
    <n v="2226216"/>
  </r>
  <r>
    <s v="Yemen"/>
    <x v="0"/>
    <n v="31154867"/>
    <n v="2023"/>
    <n v="11945"/>
    <n v="9124"/>
    <n v="2159"/>
    <n v="662"/>
    <n v="19037721"/>
    <n v="76.38"/>
    <n v="18.07"/>
    <n v="61.11"/>
    <n v="329592"/>
  </r>
  <r>
    <s v="Zambia"/>
    <x v="1"/>
    <n v="19470234"/>
    <n v="2023"/>
    <n v="349304"/>
    <n v="341316"/>
    <n v="4069"/>
    <n v="3919"/>
    <n v="14827885"/>
    <n v="97.71"/>
    <n v="1.1599999999999999"/>
    <n v="76.16"/>
    <n v="4112961"/>
  </r>
  <r>
    <s v="Zimbabwe"/>
    <x v="1"/>
    <n v="15331428"/>
    <n v="2022"/>
    <n v="266359"/>
    <n v="258888"/>
    <n v="5740"/>
    <n v="1731"/>
    <n v="10105765"/>
    <n v="97.2"/>
    <n v="2.15"/>
    <n v="65.92"/>
    <n v="252575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37">
  <r>
    <x v="0"/>
    <x v="0"/>
    <n v="40754388"/>
    <x v="0"/>
    <x v="0"/>
    <n v="211080"/>
    <n v="7996"/>
    <n v="15098"/>
    <n v="25520706"/>
    <n v="90.14"/>
    <n v="3.41"/>
    <n v="62.62"/>
    <n v="1390730"/>
    <s v="3rd"/>
  </r>
  <r>
    <x v="1"/>
    <x v="1"/>
    <n v="5797805"/>
    <x v="1"/>
    <x v="1"/>
    <n v="12090808"/>
    <n v="258892"/>
    <n v="511224"/>
    <n v="5797805"/>
    <n v="94.01"/>
    <n v="2.0099999999999998"/>
    <n v="100"/>
    <n v="2226216"/>
    <s v="2nd"/>
  </r>
  <r>
    <x v="2"/>
    <x v="2"/>
    <n v="2866374"/>
    <x v="2"/>
    <x v="2"/>
    <n v="330233"/>
    <n v="3605"/>
    <n v="1025"/>
    <n v="1400822"/>
    <n v="98.62"/>
    <n v="1.08"/>
    <n v="48.87"/>
    <n v="1941032"/>
    <s v="3rd"/>
  </r>
  <r>
    <x v="3"/>
    <x v="1"/>
    <n v="45350148"/>
    <x v="1"/>
    <x v="3"/>
    <n v="183061"/>
    <n v="6881"/>
    <n v="82068"/>
    <n v="29017896"/>
    <n v="67.3"/>
    <n v="2.5299999999999998"/>
    <n v="63.99"/>
    <n v="230960"/>
    <s v="3rd"/>
  </r>
  <r>
    <x v="4"/>
    <x v="2"/>
    <n v="77463"/>
    <x v="1"/>
    <x v="4"/>
    <n v="235145.5"/>
    <n v="165"/>
    <n v="0"/>
    <n v="58720"/>
    <n v="489.73"/>
    <n v="0.34"/>
    <n v="75.8"/>
    <n v="249838"/>
    <s v="4th"/>
  </r>
  <r>
    <x v="5"/>
    <x v="1"/>
    <n v="35027343"/>
    <x v="1"/>
    <x v="5"/>
    <n v="103419"/>
    <n v="1937"/>
    <n v="1971"/>
    <n v="30386555"/>
    <n v="96.36"/>
    <n v="1.8"/>
    <n v="86.75"/>
    <n v="1499795"/>
    <s v="3rd"/>
  </r>
  <r>
    <x v="6"/>
    <x v="3"/>
    <n v="15230"/>
    <x v="2"/>
    <x v="6"/>
    <n v="235145.5"/>
    <n v="12"/>
    <n v="0"/>
    <n v="9247"/>
    <n v="6023.19"/>
    <n v="0.31"/>
    <n v="60.72"/>
    <n v="51382"/>
    <s v="5th"/>
  </r>
  <r>
    <x v="7"/>
    <x v="3"/>
    <n v="99509"/>
    <x v="2"/>
    <x v="7"/>
    <n v="8954"/>
    <n v="146"/>
    <n v="6"/>
    <n v="47113"/>
    <n v="98.33"/>
    <n v="1.6"/>
    <n v="47.35"/>
    <n v="18901"/>
    <s v="4th"/>
  </r>
  <r>
    <x v="8"/>
    <x v="4"/>
    <n v="46010234"/>
    <x v="2"/>
    <x v="8"/>
    <n v="9997258"/>
    <n v="130841"/>
    <n v="746"/>
    <n v="28727564"/>
    <n v="98.7"/>
    <n v="1.29"/>
    <n v="62.44"/>
    <n v="35716069"/>
    <s v="2nd"/>
  </r>
  <r>
    <x v="9"/>
    <x v="0"/>
    <n v="2971966"/>
    <x v="2"/>
    <x v="9"/>
    <n v="435162"/>
    <n v="8777"/>
    <n v="7892"/>
    <n v="2009941"/>
    <n v="96.31"/>
    <n v="1.94"/>
    <n v="67.63"/>
    <n v="3242901"/>
    <s v="3rd"/>
  </r>
  <r>
    <x v="10"/>
    <x v="3"/>
    <n v="107609"/>
    <x v="0"/>
    <x v="10"/>
    <n v="42438"/>
    <n v="292"/>
    <n v="1494"/>
    <n v="76311"/>
    <n v="95.96"/>
    <n v="0.66"/>
    <n v="70.92"/>
    <n v="177885"/>
    <s v="4th"/>
  </r>
  <r>
    <x v="11"/>
    <x v="0"/>
    <n v="5797805"/>
    <x v="2"/>
    <x v="11"/>
    <n v="205673091"/>
    <n v="1553662"/>
    <n v="14273512"/>
    <n v="5797805"/>
    <n v="92.85"/>
    <n v="0.7"/>
    <n v="100"/>
    <n v="2226216"/>
    <s v="1st"/>
  </r>
  <r>
    <x v="12"/>
    <x v="5"/>
    <n v="26068792"/>
    <x v="2"/>
    <x v="12"/>
    <n v="11820014"/>
    <n v="24414"/>
    <n v="8716"/>
    <n v="22875672"/>
    <n v="99.72"/>
    <n v="0.21"/>
    <n v="87.75"/>
    <n v="81916639"/>
    <s v="2nd"/>
  </r>
  <r>
    <x v="13"/>
    <x v="2"/>
    <n v="9066710"/>
    <x v="3"/>
    <x v="13"/>
    <n v="6054934"/>
    <n v="22542"/>
    <n v="3811"/>
    <n v="8527128"/>
    <n v="99.57"/>
    <n v="0.37"/>
    <n v="94.05"/>
    <n v="211273524"/>
    <s v="3rd"/>
  </r>
  <r>
    <x v="14"/>
    <x v="0"/>
    <n v="10300205"/>
    <x v="3"/>
    <x v="14"/>
    <n v="824089"/>
    <n v="10400"/>
    <n v="745"/>
    <n v="6480020"/>
    <n v="98.67"/>
    <n v="1.25"/>
    <n v="62.91"/>
    <n v="7748050"/>
    <s v="3rd"/>
  </r>
  <r>
    <x v="15"/>
    <x v="3"/>
    <n v="400516"/>
    <x v="1"/>
    <x v="15"/>
    <n v="36366"/>
    <n v="844"/>
    <n v="874"/>
    <n v="229910"/>
    <n v="95.49"/>
    <n v="2.2200000000000002"/>
    <n v="57.4"/>
    <n v="257839"/>
    <s v="4th"/>
  </r>
  <r>
    <x v="16"/>
    <x v="0"/>
    <n v="1783983"/>
    <x v="2"/>
    <x v="16"/>
    <n v="727915"/>
    <n v="1574"/>
    <n v="60"/>
    <n v="1032501"/>
    <n v="99.78"/>
    <n v="0.22"/>
    <n v="57.88"/>
    <n v="10948549"/>
    <s v="3rd"/>
  </r>
  <r>
    <x v="17"/>
    <x v="0"/>
    <n v="167885689"/>
    <x v="1"/>
    <x v="17"/>
    <n v="235145.5"/>
    <n v="29493"/>
    <n v="1784738"/>
    <n v="144559529"/>
    <n v="11.47"/>
    <n v="1.44"/>
    <n v="86.11"/>
    <n v="15254399"/>
    <s v="3rd"/>
  </r>
  <r>
    <x v="18"/>
    <x v="3"/>
    <n v="288023"/>
    <x v="2"/>
    <x v="18"/>
    <n v="108647"/>
    <n v="648"/>
    <n v="1283"/>
    <n v="208076"/>
    <n v="98.25"/>
    <n v="0.59"/>
    <n v="72.239999999999995"/>
    <n v="814159"/>
    <s v="3rd"/>
  </r>
  <r>
    <x v="19"/>
    <x v="2"/>
    <n v="9432800"/>
    <x v="1"/>
    <x v="19"/>
    <n v="985592"/>
    <n v="7118"/>
    <n v="1327"/>
    <n v="6772062"/>
    <n v="99.15"/>
    <n v="0.72"/>
    <n v="71.790000000000006"/>
    <n v="13646641"/>
    <s v="3rd"/>
  </r>
  <r>
    <x v="20"/>
    <x v="2"/>
    <n v="11668278"/>
    <x v="2"/>
    <x v="20"/>
    <n v="4826798"/>
    <n v="34376"/>
    <n v="521"/>
    <n v="7235473"/>
    <n v="99.28"/>
    <n v="0.71"/>
    <n v="62.01"/>
    <n v="37454182"/>
    <s v="3rd"/>
  </r>
  <r>
    <x v="21"/>
    <x v="3"/>
    <n v="412190"/>
    <x v="0"/>
    <x v="21"/>
    <n v="235145.5"/>
    <n v="688"/>
    <n v="0"/>
    <n v="332348"/>
    <n v="329.29"/>
    <n v="0.96"/>
    <n v="80.63"/>
    <n v="576016"/>
    <s v="3rd"/>
  </r>
  <r>
    <x v="22"/>
    <x v="1"/>
    <n v="12784726"/>
    <x v="2"/>
    <x v="22"/>
    <n v="27847"/>
    <n v="163"/>
    <n v="26"/>
    <n v="9358025"/>
    <n v="99.33"/>
    <n v="0.57999999999999996"/>
    <n v="73.2"/>
    <n v="604310"/>
    <s v="4th"/>
  </r>
  <r>
    <x v="23"/>
    <x v="3"/>
    <n v="61939"/>
    <x v="0"/>
    <x v="23"/>
    <n v="18685"/>
    <n v="165"/>
    <n v="10"/>
    <n v="39172"/>
    <n v="99.07"/>
    <n v="0.87"/>
    <n v="63.24"/>
    <n v="1029558"/>
    <s v="4th"/>
  </r>
  <r>
    <x v="24"/>
    <x v="0"/>
    <n v="787941"/>
    <x v="3"/>
    <x v="24"/>
    <n v="61564"/>
    <n v="21"/>
    <n v="1112"/>
    <n v="684593"/>
    <n v="98.19"/>
    <n v="0.03"/>
    <n v="86.88"/>
    <n v="2303734"/>
    <s v="3rd"/>
  </r>
  <r>
    <x v="25"/>
    <x v="4"/>
    <n v="11992656"/>
    <x v="0"/>
    <x v="25"/>
    <n v="1177145"/>
    <n v="22407"/>
    <n v="12579"/>
    <n v="6928200"/>
    <n v="97.11"/>
    <n v="1.85"/>
    <n v="57.77"/>
    <n v="2710261"/>
    <s v="3rd"/>
  </r>
  <r>
    <x v="26"/>
    <x v="2"/>
    <n v="3249317"/>
    <x v="3"/>
    <x v="26"/>
    <n v="379084"/>
    <n v="16388"/>
    <n v="8143"/>
    <n v="1810360"/>
    <n v="93.92"/>
    <n v="4.0599999999999996"/>
    <n v="55.72"/>
    <n v="1884721"/>
    <s v="3rd"/>
  </r>
  <r>
    <x v="27"/>
    <x v="1"/>
    <n v="2441162"/>
    <x v="1"/>
    <x v="27"/>
    <n v="327049"/>
    <n v="2801"/>
    <n v="788"/>
    <n v="1647016"/>
    <n v="98.91"/>
    <n v="0.85"/>
    <n v="67.47"/>
    <n v="2026898"/>
    <s v="3rd"/>
  </r>
  <r>
    <x v="28"/>
    <x v="4"/>
    <n v="215353593"/>
    <x v="0"/>
    <x v="28"/>
    <n v="36249161"/>
    <n v="711380"/>
    <n v="1783377"/>
    <n v="140304144"/>
    <n v="93.56"/>
    <n v="1.84"/>
    <n v="65.150000000000006"/>
    <n v="63776166"/>
    <s v="2nd"/>
  </r>
  <r>
    <x v="29"/>
    <x v="3"/>
    <n v="30596"/>
    <x v="3"/>
    <x v="29"/>
    <n v="235145.5"/>
    <n v="64"/>
    <n v="0"/>
    <n v="19032"/>
    <n v="3181.08"/>
    <n v="0.87"/>
    <n v="62.2"/>
    <n v="107339"/>
    <s v="4th"/>
  </r>
  <r>
    <x v="30"/>
    <x v="0"/>
    <n v="445431"/>
    <x v="0"/>
    <x v="30"/>
    <n v="243601"/>
    <n v="225"/>
    <n v="99893"/>
    <n v="343719"/>
    <n v="70.87"/>
    <n v="7.0000000000000007E-2"/>
    <n v="77.17"/>
    <n v="717784"/>
    <s v="3rd"/>
  </r>
  <r>
    <x v="31"/>
    <x v="2"/>
    <n v="6844597"/>
    <x v="2"/>
    <x v="31"/>
    <n v="1292944"/>
    <n v="38748"/>
    <n v="8159"/>
    <n v="4567101"/>
    <n v="96.5"/>
    <n v="2.89"/>
    <n v="66.73"/>
    <n v="11671043"/>
    <s v="3rd"/>
  </r>
  <r>
    <x v="32"/>
    <x v="1"/>
    <n v="22102838"/>
    <x v="2"/>
    <x v="32"/>
    <n v="21596"/>
    <n v="400"/>
    <n v="118"/>
    <n v="16211863"/>
    <n v="97.66"/>
    <n v="1.81"/>
    <n v="73.349999999999994"/>
    <n v="248995"/>
    <s v="4th"/>
  </r>
  <r>
    <x v="33"/>
    <x v="1"/>
    <n v="12624840"/>
    <x v="1"/>
    <x v="33"/>
    <n v="53569"/>
    <n v="38"/>
    <n v="1114"/>
    <n v="9240560"/>
    <n v="97.89"/>
    <n v="7.0000000000000007E-2"/>
    <n v="73.19"/>
    <n v="345742"/>
    <s v="3rd"/>
  </r>
  <r>
    <x v="34"/>
    <x v="1"/>
    <n v="5016678"/>
    <x v="0"/>
    <x v="34"/>
    <n v="15200"/>
    <n v="113"/>
    <n v="127"/>
    <n v="4410255"/>
    <n v="98.45"/>
    <n v="0.73"/>
    <n v="87.91"/>
    <n v="81294"/>
    <s v="4th"/>
  </r>
  <r>
    <x v="35"/>
    <x v="1"/>
    <n v="567678"/>
    <x v="2"/>
    <x v="35"/>
    <n v="63755"/>
    <n v="417"/>
    <n v="305"/>
    <n v="433449"/>
    <n v="98.88"/>
    <n v="0.65"/>
    <n v="76.349999999999994"/>
    <n v="401622"/>
    <s v="3rd"/>
  </r>
  <r>
    <x v="36"/>
    <x v="0"/>
    <n v="17168639"/>
    <x v="1"/>
    <x v="36"/>
    <n v="136044"/>
    <n v="3056"/>
    <n v="3"/>
    <n v="13795045"/>
    <n v="97.8"/>
    <n v="2.2000000000000002"/>
    <n v="80.349999999999994"/>
    <n v="3091420"/>
    <s v="3rd"/>
  </r>
  <r>
    <x v="37"/>
    <x v="1"/>
    <n v="27911548"/>
    <x v="0"/>
    <x v="37"/>
    <n v="123280"/>
    <n v="1974"/>
    <n v="125"/>
    <n v="21906608"/>
    <n v="98.33"/>
    <n v="1.57"/>
    <n v="78.489999999999995"/>
    <n v="1751774"/>
    <s v="3rd"/>
  </r>
  <r>
    <x v="38"/>
    <x v="3"/>
    <n v="38388419"/>
    <x v="2"/>
    <x v="38"/>
    <n v="4881312"/>
    <n v="59034"/>
    <n v="5744"/>
    <n v="32719235"/>
    <n v="98.69"/>
    <n v="1.19"/>
    <n v="85.23"/>
    <n v="66572774"/>
    <s v="3rd"/>
  </r>
  <r>
    <x v="39"/>
    <x v="3"/>
    <n v="26647"/>
    <x v="2"/>
    <x v="39"/>
    <n v="10476"/>
    <n v="38"/>
    <n v="1168"/>
    <n v="18650"/>
    <n v="89.68"/>
    <n v="0.33"/>
    <n v="69.989999999999995"/>
    <n v="30126"/>
    <s v="4th"/>
  </r>
  <r>
    <x v="40"/>
    <x v="3"/>
    <n v="67277"/>
    <x v="1"/>
    <x v="40"/>
    <n v="8553"/>
    <n v="37"/>
    <n v="22882"/>
    <n v="48269"/>
    <n v="27.18"/>
    <n v="0.12"/>
    <n v="71.75"/>
    <n v="222773"/>
    <s v="4th"/>
  </r>
  <r>
    <x v="41"/>
    <x v="1"/>
    <n v="17413580"/>
    <x v="3"/>
    <x v="41"/>
    <n v="4874"/>
    <n v="194"/>
    <n v="2633"/>
    <n v="13768304"/>
    <n v="63.29"/>
    <n v="2.52"/>
    <n v="79.069999999999993"/>
    <n v="191341"/>
    <s v="4th"/>
  </r>
  <r>
    <x v="42"/>
    <x v="2"/>
    <n v="176463"/>
    <x v="1"/>
    <x v="42"/>
    <n v="101321"/>
    <n v="228"/>
    <n v="168"/>
    <n v="101717"/>
    <n v="99.61"/>
    <n v="0.22"/>
    <n v="57.64"/>
    <n v="1252808"/>
    <s v="3rd"/>
  </r>
  <r>
    <x v="43"/>
    <x v="4"/>
    <n v="19250195"/>
    <x v="1"/>
    <x v="43"/>
    <n v="5252450"/>
    <n v="64497"/>
    <n v="67906"/>
    <n v="11698390"/>
    <n v="97.54"/>
    <n v="1.2"/>
    <n v="60.77"/>
    <n v="50382097"/>
    <s v="3rd"/>
  </r>
  <r>
    <x v="44"/>
    <x v="0"/>
    <n v="1448471400"/>
    <x v="3"/>
    <x v="44"/>
    <n v="379053"/>
    <n v="5272"/>
    <n v="118977"/>
    <n v="840194735"/>
    <n v="75.31"/>
    <n v="1.05"/>
    <n v="58.01"/>
    <n v="160000000"/>
    <s v="3rd"/>
  </r>
  <r>
    <x v="45"/>
    <x v="4"/>
    <n v="51512762"/>
    <x v="1"/>
    <x v="45"/>
    <n v="6212152"/>
    <n v="143200"/>
    <n v="44821"/>
    <n v="26374797"/>
    <n v="97.06"/>
    <n v="2.2400000000000002"/>
    <n v="51.2"/>
    <n v="36951507"/>
    <s v="3rd"/>
  </r>
  <r>
    <x v="46"/>
    <x v="1"/>
    <n v="907419"/>
    <x v="3"/>
    <x v="46"/>
    <n v="8939"/>
    <n v="161"/>
    <n v="9"/>
    <n v="428646"/>
    <n v="98.13"/>
    <n v="1.77"/>
    <n v="47.24"/>
    <n v="2226216"/>
    <s v="4th"/>
  </r>
  <r>
    <x v="47"/>
    <x v="1"/>
    <n v="5797805"/>
    <x v="1"/>
    <x v="47"/>
    <n v="24006"/>
    <n v="386"/>
    <n v="983"/>
    <n v="4956494"/>
    <n v="94.6"/>
    <n v="1.52"/>
    <n v="85.49"/>
    <n v="347815"/>
    <s v="4th"/>
  </r>
  <r>
    <x v="48"/>
    <x v="5"/>
    <n v="17571"/>
    <x v="3"/>
    <x v="48"/>
    <n v="7150"/>
    <n v="2"/>
    <n v="51"/>
    <n v="14665"/>
    <n v="99.26"/>
    <n v="0.03"/>
    <n v="83.46"/>
    <n v="19690"/>
    <s v="4th"/>
  </r>
  <r>
    <x v="49"/>
    <x v="3"/>
    <n v="5182354"/>
    <x v="2"/>
    <x v="49"/>
    <n v="235145.5"/>
    <n v="9428"/>
    <n v="994310"/>
    <n v="4142102"/>
    <n v="18.98"/>
    <n v="0.76"/>
    <n v="79.930000000000007"/>
    <n v="4659757"/>
    <s v="3rd"/>
  </r>
  <r>
    <x v="50"/>
    <x v="2"/>
    <n v="4059286"/>
    <x v="3"/>
    <x v="50"/>
    <n v="1258432"/>
    <n v="18687"/>
    <n v="32609"/>
    <n v="2685045"/>
    <n v="96.08"/>
    <n v="1.43"/>
    <n v="66.150000000000006"/>
    <n v="5660084"/>
    <s v="3rd"/>
  </r>
  <r>
    <x v="51"/>
    <x v="3"/>
    <n v="11305652"/>
    <x v="2"/>
    <x v="51"/>
    <n v="1106660"/>
    <n v="8530"/>
    <n v="61"/>
    <n v="8501473"/>
    <n v="99.23"/>
    <n v="0.76"/>
    <n v="75.2"/>
    <n v="14402674"/>
    <s v="3rd"/>
  </r>
  <r>
    <x v="52"/>
    <x v="3"/>
    <n v="165529"/>
    <x v="2"/>
    <x v="52"/>
    <n v="44720"/>
    <n v="295"/>
    <n v="971"/>
    <n v="137792"/>
    <n v="97.25"/>
    <n v="0.64"/>
    <n v="83.24"/>
    <n v="496693"/>
    <s v="4th"/>
  </r>
  <r>
    <x v="53"/>
    <x v="0"/>
    <n v="1223387"/>
    <x v="2"/>
    <x v="53"/>
    <n v="679745"/>
    <n v="1365"/>
    <n v="0"/>
    <n v="1027295"/>
    <n v="99.8"/>
    <n v="0.2"/>
    <n v="83.97"/>
    <n v="9640118"/>
    <s v="3rd"/>
  </r>
  <r>
    <x v="54"/>
    <x v="2"/>
    <n v="10736784"/>
    <x v="3"/>
    <x v="54"/>
    <n v="4715206"/>
    <n v="43517"/>
    <n v="318"/>
    <n v="5293964"/>
    <n v="99.08"/>
    <n v="0.91"/>
    <n v="49.31"/>
    <n v="57834241"/>
    <s v="3rd"/>
  </r>
  <r>
    <x v="55"/>
    <x v="0"/>
    <n v="25990679"/>
    <x v="1"/>
    <x v="55"/>
    <n v="4772739"/>
    <n v="74"/>
    <n v="0"/>
    <n v="16741798"/>
    <n v="100"/>
    <n v="0"/>
    <n v="64.41"/>
    <n v="2226216"/>
    <s v="3rd"/>
  </r>
  <r>
    <x v="56"/>
    <x v="1"/>
    <n v="95240792"/>
    <x v="1"/>
    <x v="56"/>
    <n v="84489"/>
    <n v="1468"/>
    <n v="13381"/>
    <n v="70359567"/>
    <n v="85.05"/>
    <n v="1.48"/>
    <n v="73.88"/>
    <n v="846704"/>
    <s v="3rd"/>
  </r>
  <r>
    <x v="57"/>
    <x v="2"/>
    <n v="5834950"/>
    <x v="2"/>
    <x v="57"/>
    <n v="3174942"/>
    <n v="8814"/>
    <n v="0"/>
    <n v="3747470"/>
    <n v="99.72"/>
    <n v="0.28000000000000003"/>
    <n v="64.22"/>
    <n v="129333107"/>
    <s v="3rd"/>
  </r>
  <r>
    <x v="58"/>
    <x v="1"/>
    <n v="5797805"/>
    <x v="3"/>
    <x v="58"/>
    <n v="699"/>
    <n v="13"/>
    <n v="0"/>
    <n v="2696696"/>
    <n v="98.17"/>
    <n v="1.83"/>
    <n v="46.51"/>
    <n v="2226216"/>
    <s v="5th"/>
  </r>
  <r>
    <x v="59"/>
    <x v="1"/>
    <n v="1016097"/>
    <x v="0"/>
    <x v="59"/>
    <n v="15427"/>
    <n v="189"/>
    <n v="74"/>
    <n v="683578"/>
    <n v="98.32"/>
    <n v="1.2"/>
    <n v="67.27"/>
    <n v="305941"/>
    <s v="4th"/>
  </r>
  <r>
    <x v="60"/>
    <x v="3"/>
    <n v="72344"/>
    <x v="2"/>
    <x v="60"/>
    <n v="15964"/>
    <n v="74"/>
    <n v="0"/>
    <n v="54002"/>
    <n v="99.54"/>
    <n v="0.46"/>
    <n v="74.650000000000006"/>
    <n v="229344"/>
    <s v="4th"/>
  </r>
  <r>
    <x v="61"/>
    <x v="3"/>
    <n v="11056370"/>
    <x v="3"/>
    <x v="61"/>
    <n v="671316"/>
    <n v="4384"/>
    <n v="190"/>
    <n v="8130771"/>
    <n v="99.32"/>
    <n v="0.65"/>
    <n v="73.540000000000006"/>
    <n v="3740928"/>
    <s v="3rd"/>
  </r>
  <r>
    <x v="62"/>
    <x v="4"/>
    <n v="18113361"/>
    <x v="0"/>
    <x v="62"/>
    <n v="1034145"/>
    <n v="36043"/>
    <n v="0"/>
    <n v="14838721"/>
    <n v="96.63"/>
    <n v="3.37"/>
    <n v="81.92"/>
    <n v="3082403"/>
    <s v="3rd"/>
  </r>
  <r>
    <x v="63"/>
    <x v="1"/>
    <n v="106156692"/>
    <x v="0"/>
    <x v="63"/>
    <n v="442182"/>
    <n v="24613"/>
    <n v="49228"/>
    <n v="59733824"/>
    <n v="85.69"/>
    <n v="4.7699999999999996"/>
    <n v="56.27"/>
    <n v="3693367"/>
    <s v="3rd"/>
  </r>
  <r>
    <x v="64"/>
    <x v="3"/>
    <n v="6550389"/>
    <x v="3"/>
    <x v="64"/>
    <n v="179410"/>
    <n v="4230"/>
    <n v="18215"/>
    <n v="3501415"/>
    <n v="88.88"/>
    <n v="2.1"/>
    <n v="53.45"/>
    <n v="2610114"/>
    <s v="3rd"/>
  </r>
  <r>
    <x v="65"/>
    <x v="1"/>
    <n v="1496662"/>
    <x v="0"/>
    <x v="65"/>
    <n v="16907"/>
    <n v="183"/>
    <n v="139"/>
    <n v="934438"/>
    <n v="98.13"/>
    <n v="1.06"/>
    <n v="62.43"/>
    <n v="365697"/>
    <s v="4th"/>
  </r>
  <r>
    <x v="66"/>
    <x v="1"/>
    <n v="3662244"/>
    <x v="1"/>
    <x v="66"/>
    <n v="10086"/>
    <n v="103"/>
    <n v="0"/>
    <n v="3100827"/>
    <n v="98.99"/>
    <n v="1.01"/>
    <n v="84.67"/>
    <n v="23693"/>
    <s v="4th"/>
  </r>
  <r>
    <x v="67"/>
    <x v="2"/>
    <n v="1321910"/>
    <x v="1"/>
    <x v="67"/>
    <n v="235145.5"/>
    <n v="3001"/>
    <n v="389924"/>
    <n v="1039817"/>
    <n v="37.44"/>
    <n v="0.48"/>
    <n v="78.66"/>
    <n v="6968103"/>
    <s v="3rd"/>
  </r>
  <r>
    <x v="68"/>
    <x v="1"/>
    <n v="1184817"/>
    <x v="0"/>
    <x v="68"/>
    <n v="73116"/>
    <n v="1427"/>
    <n v="648"/>
    <n v="914240"/>
    <n v="97.24"/>
    <n v="1.9"/>
    <n v="77.16"/>
    <n v="1048704"/>
    <s v="3rd"/>
  </r>
  <r>
    <x v="69"/>
    <x v="1"/>
    <n v="120812698"/>
    <x v="1"/>
    <x v="69"/>
    <n v="488171"/>
    <n v="7574"/>
    <n v="5412"/>
    <n v="105836210"/>
    <n v="97.41"/>
    <n v="1.51"/>
    <n v="87.6"/>
    <n v="5565340"/>
    <s v="3rd"/>
  </r>
  <r>
    <x v="70"/>
    <x v="2"/>
    <n v="5797805"/>
    <x v="2"/>
    <x v="70"/>
    <n v="248754104"/>
    <n v="2101824"/>
    <n v="2550270"/>
    <n v="5797805"/>
    <n v="98.16"/>
    <n v="0.83"/>
    <n v="100"/>
    <n v="2226216"/>
    <s v="1st"/>
  </r>
  <r>
    <x v="71"/>
    <x v="2"/>
    <n v="49233"/>
    <x v="2"/>
    <x v="71"/>
    <n v="235145.5"/>
    <n v="28"/>
    <n v="0"/>
    <n v="34658"/>
    <n v="678.47"/>
    <n v="0.08"/>
    <n v="70.400000000000006"/>
    <n v="778000"/>
    <s v="4th"/>
  </r>
  <r>
    <x v="72"/>
    <x v="4"/>
    <n v="3539"/>
    <x v="2"/>
    <x v="72"/>
    <n v="1930"/>
    <n v="2570"/>
    <n v="0"/>
    <n v="1930"/>
    <n v="100"/>
    <n v="133.16"/>
    <n v="54.54"/>
    <n v="8632"/>
    <s v="5th"/>
  </r>
  <r>
    <x v="73"/>
    <x v="5"/>
    <n v="909466"/>
    <x v="2"/>
    <x v="73"/>
    <n v="67226"/>
    <n v="885"/>
    <n v="1006"/>
    <n v="569444"/>
    <n v="97.26"/>
    <n v="1.28"/>
    <n v="62.61"/>
    <n v="672883"/>
    <s v="3rd"/>
  </r>
  <r>
    <x v="74"/>
    <x v="2"/>
    <n v="5554960"/>
    <x v="3"/>
    <x v="74"/>
    <n v="1503989"/>
    <n v="11958"/>
    <n v="170"/>
    <n v="3672191"/>
    <n v="99.2"/>
    <n v="0.79"/>
    <n v="66.11"/>
    <n v="12108977"/>
    <s v="3rd"/>
  </r>
  <r>
    <x v="75"/>
    <x v="2"/>
    <n v="65584518"/>
    <x v="2"/>
    <x v="75"/>
    <n v="39970918"/>
    <n v="167642"/>
    <n v="0"/>
    <n v="54764444"/>
    <n v="99.58"/>
    <n v="0.42"/>
    <n v="83.5"/>
    <n v="271490188"/>
    <s v="2nd"/>
  </r>
  <r>
    <x v="76"/>
    <x v="4"/>
    <n v="314169"/>
    <x v="1"/>
    <x v="76"/>
    <n v="11254"/>
    <n v="420"/>
    <n v="86367"/>
    <n v="291103"/>
    <n v="11.48"/>
    <n v="0.43"/>
    <n v="92.66"/>
    <n v="651257"/>
    <s v="3rd"/>
  </r>
  <r>
    <x v="77"/>
    <x v="5"/>
    <n v="284164"/>
    <x v="1"/>
    <x v="77"/>
    <n v="235145.5"/>
    <n v="650"/>
    <n v="0"/>
    <n v="206443"/>
    <n v="296.7"/>
    <n v="0.82"/>
    <n v="72.650000000000006"/>
    <n v="2226216"/>
    <s v="3rd"/>
  </r>
  <r>
    <x v="78"/>
    <x v="1"/>
    <n v="2331533"/>
    <x v="3"/>
    <x v="78"/>
    <n v="48674"/>
    <n v="307"/>
    <n v="70"/>
    <n v="1981332"/>
    <n v="99.23"/>
    <n v="0.63"/>
    <n v="84.98"/>
    <n v="1621909"/>
    <s v="4th"/>
  </r>
  <r>
    <x v="79"/>
    <x v="1"/>
    <n v="2558482"/>
    <x v="0"/>
    <x v="79"/>
    <n v="12189"/>
    <n v="372"/>
    <n v="65"/>
    <n v="1656023"/>
    <n v="96.54"/>
    <n v="2.95"/>
    <n v="64.73"/>
    <n v="155686"/>
    <s v="4th"/>
  </r>
  <r>
    <x v="80"/>
    <x v="0"/>
    <n v="3968738"/>
    <x v="1"/>
    <x v="80"/>
    <n v="235145.5"/>
    <n v="17132"/>
    <n v="1609388"/>
    <n v="2844160"/>
    <n v="12.63"/>
    <n v="0.92"/>
    <n v="71.66"/>
    <n v="16920079"/>
    <s v="3rd"/>
  </r>
  <r>
    <x v="81"/>
    <x v="2"/>
    <n v="83883596"/>
    <x v="3"/>
    <x v="81"/>
    <n v="38240600"/>
    <n v="183027"/>
    <n v="405368"/>
    <n v="44041151"/>
    <n v="98.48"/>
    <n v="0.47"/>
    <n v="52.5"/>
    <n v="122332384"/>
    <s v="2nd"/>
  </r>
  <r>
    <x v="82"/>
    <x v="1"/>
    <n v="32395450"/>
    <x v="0"/>
    <x v="82"/>
    <n v="170425"/>
    <n v="1462"/>
    <n v="2"/>
    <n v="29690653"/>
    <n v="99.15"/>
    <n v="0.85"/>
    <n v="91.65"/>
    <n v="2541625"/>
    <s v="3rd"/>
  </r>
  <r>
    <x v="83"/>
    <x v="2"/>
    <n v="33704"/>
    <x v="0"/>
    <x v="83"/>
    <n v="235145.5"/>
    <n v="113"/>
    <n v="0"/>
    <n v="22186"/>
    <n v="1144.26"/>
    <n v="0.55000000000000004"/>
    <n v="65.83"/>
    <n v="534283"/>
    <s v="4th"/>
  </r>
  <r>
    <x v="84"/>
    <x v="2"/>
    <n v="10316637"/>
    <x v="0"/>
    <x v="84"/>
    <n v="235145.5"/>
    <n v="37869"/>
    <n v="5828364"/>
    <n v="6101379"/>
    <n v="3.85"/>
    <n v="0.62"/>
    <n v="59.14"/>
    <n v="102228365"/>
    <s v="3rd"/>
  </r>
  <r>
    <x v="85"/>
    <x v="3"/>
    <n v="56973"/>
    <x v="2"/>
    <x v="85"/>
    <n v="2761"/>
    <n v="21"/>
    <n v="9189"/>
    <n v="42616"/>
    <n v="23.06"/>
    <n v="0.18"/>
    <n v="74.8"/>
    <n v="164926"/>
    <s v="4th"/>
  </r>
  <r>
    <x v="86"/>
    <x v="3"/>
    <n v="113475"/>
    <x v="1"/>
    <x v="86"/>
    <n v="19358"/>
    <n v="238"/>
    <n v="97"/>
    <n v="79255"/>
    <n v="98.3"/>
    <n v="1.21"/>
    <n v="69.84"/>
    <n v="182981"/>
    <s v="4th"/>
  </r>
  <r>
    <x v="87"/>
    <x v="3"/>
    <n v="399794"/>
    <x v="3"/>
    <x v="87"/>
    <n v="235145.5"/>
    <n v="1021"/>
    <n v="0"/>
    <n v="203235"/>
    <n v="115.7"/>
    <n v="0.5"/>
    <n v="50.83"/>
    <n v="938039"/>
    <s v="3rd"/>
  </r>
  <r>
    <x v="88"/>
    <x v="3"/>
    <n v="18584039"/>
    <x v="1"/>
    <x v="88"/>
    <n v="1269891"/>
    <n v="20289"/>
    <n v="1113"/>
    <n v="12185115"/>
    <n v="98.34"/>
    <n v="1.57"/>
    <n v="65.569999999999993"/>
    <n v="7593848"/>
    <s v="3rd"/>
  </r>
  <r>
    <x v="89"/>
    <x v="1"/>
    <n v="13865691"/>
    <x v="2"/>
    <x v="89"/>
    <n v="37757"/>
    <n v="468"/>
    <n v="347"/>
    <n v="8463086"/>
    <n v="97.89"/>
    <n v="1.21"/>
    <n v="61.04"/>
    <n v="660107"/>
    <s v="4th"/>
  </r>
  <r>
    <x v="90"/>
    <x v="1"/>
    <n v="2063367"/>
    <x v="2"/>
    <x v="90"/>
    <n v="8929"/>
    <n v="177"/>
    <n v="508"/>
    <n v="1013875"/>
    <n v="92.87"/>
    <n v="1.84"/>
    <n v="49.14"/>
    <n v="145231"/>
    <s v="4th"/>
  </r>
  <r>
    <x v="91"/>
    <x v="4"/>
    <n v="794045"/>
    <x v="3"/>
    <x v="91"/>
    <n v="72013"/>
    <n v="1300"/>
    <n v="824"/>
    <n v="750652"/>
    <n v="97.14"/>
    <n v="1.75"/>
    <n v="94.54"/>
    <n v="733218"/>
    <s v="3rd"/>
  </r>
  <r>
    <x v="92"/>
    <x v="3"/>
    <n v="11680283"/>
    <x v="1"/>
    <x v="92"/>
    <n v="33734"/>
    <n v="860"/>
    <n v="73"/>
    <n v="9535807"/>
    <n v="97.31"/>
    <n v="2.48"/>
    <n v="81.64"/>
    <n v="132422"/>
    <s v="4th"/>
  </r>
  <r>
    <x v="93"/>
    <x v="3"/>
    <n v="10221247"/>
    <x v="1"/>
    <x v="93"/>
    <n v="235145.5"/>
    <n v="11165"/>
    <n v="228280"/>
    <n v="7163142"/>
    <n v="49.55"/>
    <n v="2.35"/>
    <n v="70.08"/>
    <n v="1660662"/>
    <s v="3rd"/>
  </r>
  <r>
    <x v="94"/>
    <x v="0"/>
    <n v="7604299"/>
    <x v="1"/>
    <x v="94"/>
    <n v="2916005"/>
    <n v="14924"/>
    <n v="6680"/>
    <n v="7095685"/>
    <n v="99.26"/>
    <n v="0.51"/>
    <n v="93.31"/>
    <n v="76127725"/>
    <s v="3rd"/>
  </r>
  <r>
    <x v="95"/>
    <x v="2"/>
    <n v="9606259"/>
    <x v="3"/>
    <x v="95"/>
    <n v="2152155"/>
    <n v="49048"/>
    <n v="29029"/>
    <n v="5083476"/>
    <n v="96.5"/>
    <n v="2.2000000000000002"/>
    <n v="52.92"/>
    <n v="11394556"/>
    <s v="3rd"/>
  </r>
  <r>
    <x v="96"/>
    <x v="2"/>
    <n v="345393"/>
    <x v="1"/>
    <x v="96"/>
    <n v="235145.5"/>
    <n v="229"/>
    <n v="0"/>
    <n v="209906"/>
    <n v="112.02"/>
    <n v="0.11"/>
    <n v="60.77"/>
    <n v="1996384"/>
    <s v="3rd"/>
  </r>
  <r>
    <x v="97"/>
    <x v="0"/>
    <n v="1406631776"/>
    <x v="0"/>
    <x v="97"/>
    <n v="235145.5"/>
    <n v="533570"/>
    <n v="44266678"/>
    <n v="1117553948"/>
    <n v="0.52"/>
    <n v="1.18"/>
    <n v="79.45"/>
    <n v="935879495"/>
    <s v="2nd"/>
  </r>
  <r>
    <x v="98"/>
    <x v="0"/>
    <n v="279134505"/>
    <x v="2"/>
    <x v="98"/>
    <n v="6647104"/>
    <n v="162063"/>
    <n v="20054"/>
    <n v="158093782"/>
    <n v="97.33"/>
    <n v="2.37"/>
    <n v="56.64"/>
    <n v="114158919"/>
    <s v="3rd"/>
  </r>
  <r>
    <x v="99"/>
    <x v="0"/>
    <n v="86022837"/>
    <x v="2"/>
    <x v="99"/>
    <n v="235145.5"/>
    <n v="146811"/>
    <n v="7245230"/>
    <n v="73586424"/>
    <n v="3.08"/>
    <n v="1.92"/>
    <n v="85.54"/>
    <n v="57320267"/>
    <s v="3rd"/>
  </r>
  <r>
    <x v="100"/>
    <x v="0"/>
    <n v="42164965"/>
    <x v="3"/>
    <x v="100"/>
    <n v="2439497"/>
    <n v="25375"/>
    <n v="673"/>
    <n v="24422731"/>
    <n v="98.94"/>
    <n v="1.03"/>
    <n v="57.92"/>
    <n v="19544451"/>
    <s v="3rd"/>
  </r>
  <r>
    <x v="101"/>
    <x v="2"/>
    <n v="5020199"/>
    <x v="3"/>
    <x v="101"/>
    <n v="1724921"/>
    <n v="9491"/>
    <n v="170"/>
    <n v="4737030"/>
    <n v="99.44"/>
    <n v="0.55000000000000004"/>
    <n v="94.36"/>
    <n v="13083449"/>
    <s v="3rd"/>
  </r>
  <r>
    <x v="102"/>
    <x v="2"/>
    <n v="85732"/>
    <x v="3"/>
    <x v="102"/>
    <n v="235145.5"/>
    <n v="116"/>
    <n v="0"/>
    <n v="65914"/>
    <n v="618.66999999999996"/>
    <n v="0.31"/>
    <n v="76.88"/>
    <n v="150753"/>
    <s v="4th"/>
  </r>
  <r>
    <x v="103"/>
    <x v="0"/>
    <n v="9326000"/>
    <x v="3"/>
    <x v="103"/>
    <n v="4798473"/>
    <n v="12707"/>
    <n v="30592"/>
    <n v="6935040"/>
    <n v="99.11"/>
    <n v="0.26"/>
    <n v="74.36"/>
    <n v="41373364"/>
    <s v="3rd"/>
  </r>
  <r>
    <x v="104"/>
    <x v="2"/>
    <n v="60262770"/>
    <x v="3"/>
    <x v="104"/>
    <n v="26361218"/>
    <n v="196487"/>
    <n v="165544"/>
    <n v="40069839"/>
    <n v="98.65"/>
    <n v="0.74"/>
    <n v="66.489999999999995"/>
    <n v="281126449"/>
    <s v="2nd"/>
  </r>
  <r>
    <x v="105"/>
    <x v="1"/>
    <n v="27742298"/>
    <x v="2"/>
    <x v="105"/>
    <n v="87497"/>
    <n v="835"/>
    <n v="52"/>
    <n v="20026238"/>
    <n v="99"/>
    <n v="0.94"/>
    <n v="72.19"/>
    <n v="1690934"/>
    <s v="3rd"/>
  </r>
  <r>
    <x v="106"/>
    <x v="3"/>
    <n v="2985094"/>
    <x v="0"/>
    <x v="106"/>
    <n v="235145.5"/>
    <n v="3756"/>
    <n v="0"/>
    <n v="2217395"/>
    <n v="149.9"/>
    <n v="2.39"/>
    <n v="74.28"/>
    <n v="1183986"/>
    <s v="3rd"/>
  </r>
  <r>
    <x v="107"/>
    <x v="0"/>
    <n v="125584838"/>
    <x v="2"/>
    <x v="107"/>
    <n v="235145.5"/>
    <n v="74694"/>
    <n v="33493732"/>
    <n v="69565094"/>
    <n v="0.7"/>
    <n v="0.22"/>
    <n v="55.39"/>
    <n v="100414883"/>
    <s v="2nd"/>
  </r>
  <r>
    <x v="108"/>
    <x v="0"/>
    <n v="10300869"/>
    <x v="0"/>
    <x v="108"/>
    <n v="1731007"/>
    <n v="14122"/>
    <n v="1868"/>
    <n v="7677272"/>
    <n v="99.08"/>
    <n v="0.81"/>
    <n v="74.53"/>
    <n v="17201885"/>
    <s v="3rd"/>
  </r>
  <r>
    <x v="109"/>
    <x v="0"/>
    <n v="19205043"/>
    <x v="3"/>
    <x v="109"/>
    <n v="1383020"/>
    <n v="13848"/>
    <n v="14963"/>
    <n v="16559986"/>
    <n v="97.96"/>
    <n v="0.98"/>
    <n v="86.23"/>
    <n v="11575012"/>
    <s v="3rd"/>
  </r>
  <r>
    <x v="110"/>
    <x v="1"/>
    <n v="56215221"/>
    <x v="2"/>
    <x v="110"/>
    <n v="337309"/>
    <n v="5689"/>
    <n v="1132"/>
    <n v="48259195"/>
    <n v="98.02"/>
    <n v="1.65"/>
    <n v="85.85"/>
    <n v="3967062"/>
    <s v="3rd"/>
  </r>
  <r>
    <x v="111"/>
    <x v="5"/>
    <n v="123419"/>
    <x v="0"/>
    <x v="111"/>
    <n v="2703"/>
    <n v="24"/>
    <n v="2358"/>
    <n v="77351"/>
    <n v="53.16"/>
    <n v="0.47"/>
    <n v="62.67"/>
    <n v="2226216"/>
    <s v="4th"/>
  </r>
  <r>
    <x v="112"/>
    <x v="0"/>
    <n v="4380326"/>
    <x v="2"/>
    <x v="112"/>
    <n v="235145.5"/>
    <n v="2570"/>
    <n v="429442"/>
    <n v="3405286"/>
    <n v="35.25"/>
    <n v="0.39"/>
    <n v="77.739999999999995"/>
    <n v="8455743"/>
    <s v="3rd"/>
  </r>
  <r>
    <x v="113"/>
    <x v="0"/>
    <n v="6728271"/>
    <x v="1"/>
    <x v="113"/>
    <n v="196406"/>
    <n v="2991"/>
    <n v="7500"/>
    <n v="6110429"/>
    <n v="94.93"/>
    <n v="1.45"/>
    <n v="90.82"/>
    <n v="1907195"/>
    <s v="3rd"/>
  </r>
  <r>
    <x v="114"/>
    <x v="0"/>
    <n v="7481023"/>
    <x v="2"/>
    <x v="114"/>
    <n v="235145.5"/>
    <n v="758"/>
    <n v="0"/>
    <n v="6407079"/>
    <n v="107.39"/>
    <n v="0.35"/>
    <n v="85.64"/>
    <n v="1233207"/>
    <s v="3rd"/>
  </r>
  <r>
    <x v="115"/>
    <x v="2"/>
    <n v="1848837"/>
    <x v="2"/>
    <x v="115"/>
    <n v="971406"/>
    <n v="6715"/>
    <n v="4384"/>
    <n v="1254539"/>
    <n v="98.87"/>
    <n v="0.68"/>
    <n v="67.86"/>
    <n v="7885792"/>
    <s v="3rd"/>
  </r>
  <r>
    <x v="116"/>
    <x v="0"/>
    <n v="6684849"/>
    <x v="3"/>
    <x v="116"/>
    <n v="1087587"/>
    <n v="10952"/>
    <n v="145299"/>
    <n v="3533101"/>
    <n v="87.44"/>
    <n v="0.88"/>
    <n v="52.85"/>
    <n v="4795578"/>
    <s v="3rd"/>
  </r>
  <r>
    <x v="117"/>
    <x v="1"/>
    <n v="2175699"/>
    <x v="1"/>
    <x v="117"/>
    <n v="25980"/>
    <n v="723"/>
    <n v="9435"/>
    <n v="1603812"/>
    <n v="71.89"/>
    <n v="2"/>
    <n v="73.709999999999994"/>
    <n v="431221"/>
    <s v="4th"/>
  </r>
  <r>
    <x v="118"/>
    <x v="1"/>
    <n v="5305117"/>
    <x v="2"/>
    <x v="118"/>
    <n v="7783"/>
    <n v="295"/>
    <n v="12"/>
    <n v="3979603"/>
    <n v="96.21"/>
    <n v="3.65"/>
    <n v="75.010000000000005"/>
    <n v="139824"/>
    <s v="4th"/>
  </r>
  <r>
    <x v="119"/>
    <x v="1"/>
    <n v="7040745"/>
    <x v="0"/>
    <x v="119"/>
    <n v="500835"/>
    <n v="6437"/>
    <n v="2"/>
    <n v="4580474"/>
    <n v="98.73"/>
    <n v="1.27"/>
    <n v="65.06"/>
    <n v="2483848"/>
    <s v="3rd"/>
  </r>
  <r>
    <x v="120"/>
    <x v="2"/>
    <n v="38387"/>
    <x v="1"/>
    <x v="120"/>
    <n v="235145.5"/>
    <n v="94"/>
    <n v="0"/>
    <n v="31826"/>
    <n v="1089.95"/>
    <n v="0.44"/>
    <n v="82.91"/>
    <n v="112457"/>
    <s v="4th"/>
  </r>
  <r>
    <x v="121"/>
    <x v="2"/>
    <n v="2661708"/>
    <x v="3"/>
    <x v="121"/>
    <n v="1387478"/>
    <n v="9897"/>
    <n v="431"/>
    <n v="2171463"/>
    <n v="99.26"/>
    <n v="0.71"/>
    <n v="81.58"/>
    <n v="10540357"/>
    <s v="3rd"/>
  </r>
  <r>
    <x v="122"/>
    <x v="2"/>
    <n v="642371"/>
    <x v="0"/>
    <x v="122"/>
    <n v="235145.5"/>
    <n v="1232"/>
    <n v="154854"/>
    <n v="473184"/>
    <n v="60.1"/>
    <n v="0.31"/>
    <n v="73.66"/>
    <n v="4587145"/>
    <s v="3rd"/>
  </r>
  <r>
    <x v="123"/>
    <x v="1"/>
    <n v="5797805"/>
    <x v="2"/>
    <x v="123"/>
    <n v="7"/>
    <n v="2"/>
    <n v="0"/>
    <n v="3823509"/>
    <n v="77.78"/>
    <n v="22.22"/>
    <n v="65.95"/>
    <n v="2226216"/>
    <s v="5th"/>
  </r>
  <r>
    <x v="124"/>
    <x v="0"/>
    <n v="667490"/>
    <x v="1"/>
    <x v="124"/>
    <n v="3487"/>
    <n v="123"/>
    <n v="24063"/>
    <n v="459186"/>
    <n v="12.6"/>
    <n v="0.44"/>
    <n v="68.790000000000006"/>
    <n v="7850"/>
    <s v="4th"/>
  </r>
  <r>
    <x v="125"/>
    <x v="1"/>
    <n v="29178077"/>
    <x v="2"/>
    <x v="125"/>
    <n v="66862"/>
    <n v="1426"/>
    <n v="198"/>
    <n v="16707211"/>
    <n v="97.63"/>
    <n v="2.08"/>
    <n v="57.26"/>
    <n v="531329"/>
    <s v="3rd"/>
  </r>
  <r>
    <x v="126"/>
    <x v="1"/>
    <n v="20180839"/>
    <x v="1"/>
    <x v="126"/>
    <n v="235145.5"/>
    <n v="2686"/>
    <n v="0"/>
    <n v="14356646"/>
    <n v="262.63"/>
    <n v="3"/>
    <n v="71.14"/>
    <n v="624784"/>
    <s v="3rd"/>
  </r>
  <r>
    <x v="127"/>
    <x v="0"/>
    <n v="33181072"/>
    <x v="0"/>
    <x v="127"/>
    <n v="5233268"/>
    <n v="37348"/>
    <n v="7790"/>
    <n v="23424576"/>
    <n v="99.14"/>
    <n v="0.71"/>
    <n v="70.599999999999994"/>
    <n v="68580916"/>
    <s v="3rd"/>
  </r>
  <r>
    <x v="128"/>
    <x v="0"/>
    <n v="540985"/>
    <x v="1"/>
    <x v="128"/>
    <n v="163687"/>
    <n v="316"/>
    <n v="22691"/>
    <n v="318995"/>
    <n v="87.68"/>
    <n v="0.17"/>
    <n v="58.97"/>
    <n v="2213831"/>
    <s v="3rd"/>
  </r>
  <r>
    <x v="129"/>
    <x v="1"/>
    <n v="21473764"/>
    <x v="1"/>
    <x v="129"/>
    <n v="32332"/>
    <n v="743"/>
    <n v="89"/>
    <n v="19068775"/>
    <n v="97.49"/>
    <n v="2.2400000000000002"/>
    <n v="88.8"/>
    <n v="804909"/>
    <s v="4th"/>
  </r>
  <r>
    <x v="130"/>
    <x v="2"/>
    <n v="444033"/>
    <x v="2"/>
    <x v="130"/>
    <n v="120149"/>
    <n v="885"/>
    <n v="386"/>
    <n v="217887"/>
    <n v="98.95"/>
    <n v="0.73"/>
    <n v="49.07"/>
    <n v="2170600"/>
    <s v="3rd"/>
  </r>
  <r>
    <x v="131"/>
    <x v="5"/>
    <n v="60057"/>
    <x v="0"/>
    <x v="131"/>
    <n v="16121"/>
    <n v="17"/>
    <n v="0"/>
    <n v="54096"/>
    <n v="99.89"/>
    <n v="0.11"/>
    <n v="90.07"/>
    <n v="2226216"/>
    <s v="4th"/>
  </r>
  <r>
    <x v="132"/>
    <x v="3"/>
    <n v="374087"/>
    <x v="1"/>
    <x v="132"/>
    <n v="235145.5"/>
    <n v="1102"/>
    <n v="0"/>
    <n v="230354"/>
    <n v="102.08"/>
    <n v="0.48"/>
    <n v="61.58"/>
    <n v="828928"/>
    <s v="3rd"/>
  </r>
  <r>
    <x v="133"/>
    <x v="1"/>
    <n v="4901981"/>
    <x v="1"/>
    <x v="133"/>
    <n v="62471"/>
    <n v="997"/>
    <n v="380"/>
    <n v="3323954"/>
    <n v="97.84"/>
    <n v="1.56"/>
    <n v="67.81"/>
    <n v="1009957"/>
    <s v="3rd"/>
  </r>
  <r>
    <x v="134"/>
    <x v="1"/>
    <n v="1274727"/>
    <x v="0"/>
    <x v="134"/>
    <n v="41278"/>
    <n v="1051"/>
    <n v="696"/>
    <n v="652037"/>
    <n v="95.94"/>
    <n v="2.44"/>
    <n v="51.15"/>
    <n v="358675"/>
    <s v="4th"/>
  </r>
  <r>
    <x v="135"/>
    <x v="1"/>
    <n v="286259"/>
    <x v="3"/>
    <x v="135"/>
    <n v="235145.5"/>
    <n v="188"/>
    <n v="0"/>
    <n v="215395"/>
    <n v="559.51"/>
    <n v="0.45"/>
    <n v="75.239999999999995"/>
    <n v="176919"/>
    <s v="4th"/>
  </r>
  <r>
    <x v="136"/>
    <x v="3"/>
    <n v="131562772"/>
    <x v="3"/>
    <x v="136"/>
    <n v="6899865"/>
    <n v="334958"/>
    <n v="467986"/>
    <n v="118764285"/>
    <n v="89.58"/>
    <n v="4.3499999999999996"/>
    <n v="90.27"/>
    <n v="20013810"/>
    <s v="3rd"/>
  </r>
  <r>
    <x v="137"/>
    <x v="5"/>
    <n v="117489"/>
    <x v="3"/>
    <x v="137"/>
    <n v="235145.5"/>
    <n v="65"/>
    <n v="0"/>
    <n v="63903"/>
    <n v="885.77"/>
    <n v="0.24"/>
    <n v="54.39"/>
    <n v="82430"/>
    <s v="4th"/>
  </r>
  <r>
    <x v="138"/>
    <x v="2"/>
    <n v="4013171"/>
    <x v="2"/>
    <x v="138"/>
    <n v="235145.5"/>
    <n v="12218"/>
    <n v="387782"/>
    <n v="3469251"/>
    <n v="37.020000000000003"/>
    <n v="1.92"/>
    <n v="86.45"/>
    <n v="3216305"/>
    <s v="3rd"/>
  </r>
  <r>
    <x v="139"/>
    <x v="2"/>
    <n v="39783"/>
    <x v="2"/>
    <x v="139"/>
    <n v="235145.5"/>
    <n v="67"/>
    <n v="0"/>
    <n v="22222"/>
    <n v="1368.64"/>
    <n v="0.39"/>
    <n v="55.86"/>
    <n v="78646"/>
    <s v="4th"/>
  </r>
  <r>
    <x v="140"/>
    <x v="0"/>
    <n v="3378078"/>
    <x v="0"/>
    <x v="140"/>
    <n v="1009212"/>
    <n v="2284"/>
    <n v="0"/>
    <n v="2535015"/>
    <n v="99.77"/>
    <n v="0.23"/>
    <n v="75.040000000000006"/>
    <n v="4030048"/>
    <s v="3rd"/>
  </r>
  <r>
    <x v="141"/>
    <x v="2"/>
    <n v="627950"/>
    <x v="3"/>
    <x v="141"/>
    <n v="291794"/>
    <n v="2846"/>
    <n v="1902"/>
    <n v="487599"/>
    <n v="98.4"/>
    <n v="0.96"/>
    <n v="77.650000000000006"/>
    <n v="2769281"/>
    <s v="3rd"/>
  </r>
  <r>
    <x v="142"/>
    <x v="3"/>
    <n v="4965"/>
    <x v="3"/>
    <x v="142"/>
    <n v="1376"/>
    <n v="8"/>
    <n v="19"/>
    <n v="4600"/>
    <n v="98.08"/>
    <n v="0.56999999999999995"/>
    <n v="92.65"/>
    <n v="17762"/>
    <s v="5th"/>
  </r>
  <r>
    <x v="143"/>
    <x v="1"/>
    <n v="37772756"/>
    <x v="2"/>
    <x v="143"/>
    <n v="235145.5"/>
    <n v="16303"/>
    <n v="1027544"/>
    <n v="30362811"/>
    <n v="18.39"/>
    <n v="1.27"/>
    <n v="80.38"/>
    <n v="13001033"/>
    <s v="3rd"/>
  </r>
  <r>
    <x v="144"/>
    <x v="1"/>
    <n v="33089461"/>
    <x v="3"/>
    <x v="144"/>
    <n v="228805"/>
    <n v="2250"/>
    <n v="2676"/>
    <n v="16821681"/>
    <n v="97.89"/>
    <n v="0.96"/>
    <n v="50.84"/>
    <n v="1371127"/>
    <s v="3rd"/>
  </r>
  <r>
    <x v="145"/>
    <x v="0"/>
    <n v="55227143"/>
    <x v="3"/>
    <x v="145"/>
    <n v="620159"/>
    <n v="19495"/>
    <n v="2219"/>
    <n v="29712864"/>
    <n v="96.62"/>
    <n v="3.04"/>
    <n v="53.8"/>
    <n v="11711514"/>
    <s v="3rd"/>
  </r>
  <r>
    <x v="146"/>
    <x v="1"/>
    <n v="2633874"/>
    <x v="0"/>
    <x v="146"/>
    <n v="167099"/>
    <n v="4106"/>
    <n v="1184"/>
    <n v="2385537"/>
    <n v="96.93"/>
    <n v="2.38"/>
    <n v="90.57"/>
    <n v="1062663"/>
    <s v="3rd"/>
  </r>
  <r>
    <x v="147"/>
    <x v="5"/>
    <n v="10903"/>
    <x v="0"/>
    <x v="147"/>
    <n v="5347"/>
    <n v="1"/>
    <n v="45"/>
    <n v="5702"/>
    <n v="99.15"/>
    <n v="0.02"/>
    <n v="52.3"/>
    <n v="20509"/>
    <s v="4th"/>
  </r>
  <r>
    <x v="148"/>
    <x v="0"/>
    <n v="30225582"/>
    <x v="2"/>
    <x v="148"/>
    <n v="991322"/>
    <n v="12031"/>
    <n v="97"/>
    <n v="24311989"/>
    <n v="98.79"/>
    <n v="1.2"/>
    <n v="80.44"/>
    <n v="6047766"/>
    <s v="3rd"/>
  </r>
  <r>
    <x v="149"/>
    <x v="2"/>
    <n v="17211447"/>
    <x v="1"/>
    <x v="149"/>
    <n v="8612599"/>
    <n v="22992"/>
    <n v="195"/>
    <n v="15109992"/>
    <n v="99.73"/>
    <n v="0.27"/>
    <n v="87.79"/>
    <n v="25984435"/>
    <s v="3rd"/>
  </r>
  <r>
    <x v="150"/>
    <x v="5"/>
    <n v="290915"/>
    <x v="1"/>
    <x v="150"/>
    <n v="235145.5"/>
    <n v="314"/>
    <n v="0"/>
    <n v="173346"/>
    <n v="293.7"/>
    <n v="0.39"/>
    <n v="59.59"/>
    <n v="98964"/>
    <s v="3rd"/>
  </r>
  <r>
    <x v="151"/>
    <x v="5"/>
    <n v="4898203"/>
    <x v="1"/>
    <x v="151"/>
    <n v="2613791"/>
    <n v="5697"/>
    <n v="1623"/>
    <n v="2621111"/>
    <n v="99.72"/>
    <n v="0.22"/>
    <n v="53.51"/>
    <n v="7768604"/>
    <s v="3rd"/>
  </r>
  <r>
    <x v="152"/>
    <x v="3"/>
    <n v="6779100"/>
    <x v="3"/>
    <x v="152"/>
    <n v="4225"/>
    <n v="225"/>
    <n v="14041"/>
    <n v="3431012"/>
    <n v="22.85"/>
    <n v="1.22"/>
    <n v="50.61"/>
    <n v="2226216"/>
    <s v="4th"/>
  </r>
  <r>
    <x v="153"/>
    <x v="1"/>
    <n v="26083660"/>
    <x v="1"/>
    <x v="153"/>
    <n v="8890"/>
    <n v="312"/>
    <n v="729"/>
    <n v="24021420"/>
    <n v="89.52"/>
    <n v="3.14"/>
    <n v="92.09"/>
    <n v="254538"/>
    <s v="4th"/>
  </r>
  <r>
    <x v="154"/>
    <x v="1"/>
    <n v="216746934"/>
    <x v="3"/>
    <x v="154"/>
    <n v="259953"/>
    <n v="3155"/>
    <n v="4080"/>
    <n v="101755255"/>
    <n v="97.29"/>
    <n v="1.18"/>
    <n v="46.95"/>
    <n v="5708974"/>
    <s v="3rd"/>
  </r>
  <r>
    <x v="155"/>
    <x v="5"/>
    <n v="1622"/>
    <x v="0"/>
    <x v="155"/>
    <n v="1056"/>
    <n v="2570"/>
    <n v="0"/>
    <n v="1501"/>
    <n v="99.72"/>
    <n v="242.68"/>
    <n v="92.54"/>
    <n v="2226216"/>
    <s v="5th"/>
  </r>
  <r>
    <x v="156"/>
    <x v="3"/>
    <n v="5797805"/>
    <x v="2"/>
    <x v="156"/>
    <n v="127665129"/>
    <n v="1695941"/>
    <n v="2528062"/>
    <n v="5797805"/>
    <n v="96.8"/>
    <n v="1.29"/>
    <n v="100"/>
    <n v="2226216"/>
    <s v="1st"/>
  </r>
  <r>
    <x v="157"/>
    <x v="2"/>
    <n v="2081304"/>
    <x v="0"/>
    <x v="157"/>
    <n v="337068"/>
    <n v="9976"/>
    <n v="3523"/>
    <n v="1340294"/>
    <n v="96.15"/>
    <n v="2.85"/>
    <n v="64.400000000000006"/>
    <n v="2226216"/>
    <s v="3rd"/>
  </r>
  <r>
    <x v="158"/>
    <x v="2"/>
    <n v="5511370"/>
    <x v="3"/>
    <x v="158"/>
    <n v="1503094"/>
    <n v="6638"/>
    <n v="0"/>
    <n v="2989216"/>
    <n v="99.56"/>
    <n v="0.44"/>
    <n v="54.24"/>
    <n v="11002430"/>
    <s v="3rd"/>
  </r>
  <r>
    <x v="159"/>
    <x v="5"/>
    <n v="5797805"/>
    <x v="0"/>
    <x v="159"/>
    <n v="14752388"/>
    <n v="33015"/>
    <n v="110368"/>
    <n v="5797805"/>
    <n v="99.04"/>
    <n v="0.22"/>
    <n v="100"/>
    <n v="2226216"/>
    <s v="2nd"/>
  </r>
  <r>
    <x v="160"/>
    <x v="0"/>
    <n v="5323993"/>
    <x v="0"/>
    <x v="160"/>
    <n v="235145.5"/>
    <n v="4628"/>
    <n v="159676"/>
    <n v="3327810"/>
    <n v="58.87"/>
    <n v="1.1599999999999999"/>
    <n v="62.51"/>
    <n v="25000000"/>
    <s v="3rd"/>
  </r>
  <r>
    <x v="161"/>
    <x v="0"/>
    <n v="229488994"/>
    <x v="2"/>
    <x v="161"/>
    <n v="1538689"/>
    <n v="30664"/>
    <n v="12583"/>
    <n v="119564173"/>
    <n v="97.27"/>
    <n v="1.94"/>
    <n v="52.1"/>
    <n v="30589153"/>
    <s v="3rd"/>
  </r>
  <r>
    <x v="162"/>
    <x v="5"/>
    <n v="18233"/>
    <x v="2"/>
    <x v="162"/>
    <n v="6276"/>
    <n v="10"/>
    <n v="4"/>
    <n v="14047"/>
    <n v="99.78"/>
    <n v="0.16"/>
    <n v="77.040000000000006"/>
    <n v="71434"/>
    <s v="4th"/>
  </r>
  <r>
    <x v="163"/>
    <x v="0"/>
    <n v="5345541"/>
    <x v="0"/>
    <x v="163"/>
    <n v="615445"/>
    <n v="5404"/>
    <n v="159"/>
    <n v="4802415"/>
    <n v="99.1"/>
    <n v="0.87"/>
    <n v="89.84"/>
    <n v="3078533"/>
    <s v="3rd"/>
  </r>
  <r>
    <x v="164"/>
    <x v="3"/>
    <n v="4446964"/>
    <x v="0"/>
    <x v="164"/>
    <n v="1051102"/>
    <n v="8727"/>
    <n v="64"/>
    <n v="3392660"/>
    <n v="99.17"/>
    <n v="0.82"/>
    <n v="76.290000000000006"/>
    <n v="7882622"/>
    <s v="3rd"/>
  </r>
  <r>
    <x v="165"/>
    <x v="5"/>
    <n v="9292169"/>
    <x v="0"/>
    <x v="165"/>
    <n v="46168"/>
    <n v="670"/>
    <n v="26"/>
    <n v="4918704"/>
    <n v="98.51"/>
    <n v="1.43"/>
    <n v="52.93"/>
    <n v="249149"/>
    <s v="4th"/>
  </r>
  <r>
    <x v="166"/>
    <x v="4"/>
    <n v="7305843"/>
    <x v="2"/>
    <x v="166"/>
    <n v="235145.5"/>
    <n v="20155"/>
    <n v="582302"/>
    <n v="5812485"/>
    <n v="28.07"/>
    <n v="2.41"/>
    <n v="79.56"/>
    <n v="2657506"/>
    <s v="3rd"/>
  </r>
  <r>
    <x v="167"/>
    <x v="4"/>
    <n v="33684208"/>
    <x v="3"/>
    <x v="167"/>
    <n v="4350506"/>
    <n v="222161"/>
    <n v="0"/>
    <n v="20515451"/>
    <n v="95.14"/>
    <n v="4.8600000000000003"/>
    <n v="60.91"/>
    <n v="39010194"/>
    <s v="3rd"/>
  </r>
  <r>
    <x v="168"/>
    <x v="0"/>
    <n v="112508994"/>
    <x v="0"/>
    <x v="168"/>
    <n v="4067381"/>
    <n v="66864"/>
    <n v="6138"/>
    <n v="86283795"/>
    <n v="98.24"/>
    <n v="1.61"/>
    <n v="76.69"/>
    <n v="36102746"/>
    <s v="3rd"/>
  </r>
  <r>
    <x v="169"/>
    <x v="2"/>
    <n v="37739785"/>
    <x v="0"/>
    <x v="169"/>
    <n v="235145.5"/>
    <n v="120598"/>
    <n v="6306248"/>
    <n v="25196013"/>
    <n v="3.53"/>
    <n v="1.81"/>
    <n v="66.760000000000005"/>
    <n v="39323709"/>
    <s v="3rd"/>
  </r>
  <r>
    <x v="170"/>
    <x v="2"/>
    <n v="10140570"/>
    <x v="3"/>
    <x v="170"/>
    <n v="5614809"/>
    <n v="28126"/>
    <n v="127"/>
    <n v="5643062"/>
    <n v="99.5"/>
    <n v="0.5"/>
    <n v="55.65"/>
    <n v="46139518"/>
    <s v="3rd"/>
  </r>
  <r>
    <x v="171"/>
    <x v="0"/>
    <n v="2979915"/>
    <x v="2"/>
    <x v="171"/>
    <n v="513687"/>
    <n v="690"/>
    <n v="147"/>
    <n v="2113834"/>
    <n v="99.84"/>
    <n v="0.13"/>
    <n v="70.94"/>
    <n v="4065369"/>
    <s v="3rd"/>
  </r>
  <r>
    <x v="172"/>
    <x v="1"/>
    <n v="908061"/>
    <x v="2"/>
    <x v="172"/>
    <n v="235145.5"/>
    <n v="921"/>
    <n v="258528"/>
    <n v="494595"/>
    <n v="47.54"/>
    <n v="0.19"/>
    <n v="54.47"/>
    <n v="1603660"/>
    <s v="3rd"/>
  </r>
  <r>
    <x v="173"/>
    <x v="2"/>
    <n v="19031335"/>
    <x v="1"/>
    <x v="173"/>
    <n v="3460149"/>
    <n v="68929"/>
    <n v="657"/>
    <n v="13058892"/>
    <n v="98.03"/>
    <n v="1.95"/>
    <n v="68.62"/>
    <n v="28758667"/>
    <s v="3rd"/>
  </r>
  <r>
    <x v="174"/>
    <x v="2"/>
    <n v="145805947"/>
    <x v="2"/>
    <x v="174"/>
    <n v="23545818"/>
    <n v="402756"/>
    <n v="175641"/>
    <n v="113660197"/>
    <n v="97.6"/>
    <n v="1.67"/>
    <n v="77.95"/>
    <n v="273400000"/>
    <s v="2nd"/>
  </r>
  <r>
    <x v="175"/>
    <x v="1"/>
    <n v="13600464"/>
    <x v="0"/>
    <x v="175"/>
    <n v="132039"/>
    <n v="1468"/>
    <n v="11"/>
    <n v="8656556"/>
    <n v="98.89"/>
    <n v="1.1000000000000001"/>
    <n v="63.65"/>
    <n v="6021981"/>
    <s v="3rd"/>
  </r>
  <r>
    <x v="176"/>
    <x v="0"/>
    <n v="51329899"/>
    <x v="3"/>
    <x v="176"/>
    <n v="34535939"/>
    <n v="35934"/>
    <n v="0"/>
    <n v="34571873"/>
    <n v="99.9"/>
    <n v="0.1"/>
    <n v="67.349999999999994"/>
    <n v="15804065"/>
    <s v="2nd"/>
  </r>
  <r>
    <x v="177"/>
    <x v="1"/>
    <n v="6115"/>
    <x v="3"/>
    <x v="177"/>
    <n v="2"/>
    <n v="2570"/>
    <n v="0"/>
    <n v="3816"/>
    <n v="0.09"/>
    <n v="118.65"/>
    <n v="62.4"/>
    <n v="2226216"/>
    <s v="5th"/>
  </r>
  <r>
    <x v="178"/>
    <x v="3"/>
    <n v="53871"/>
    <x v="0"/>
    <x v="178"/>
    <n v="6559"/>
    <n v="48"/>
    <n v="0"/>
    <n v="43971"/>
    <n v="99.27"/>
    <n v="0.73"/>
    <n v="81.62"/>
    <n v="126958"/>
    <s v="4th"/>
  </r>
  <r>
    <x v="179"/>
    <x v="3"/>
    <n v="185113"/>
    <x v="3"/>
    <x v="179"/>
    <n v="29805"/>
    <n v="410"/>
    <n v="0"/>
    <n v="108646"/>
    <n v="98.64"/>
    <n v="1.36"/>
    <n v="58.69"/>
    <n v="210983"/>
    <s v="4th"/>
  </r>
  <r>
    <x v="180"/>
    <x v="3"/>
    <n v="39730"/>
    <x v="2"/>
    <x v="180"/>
    <n v="235145.5"/>
    <n v="63"/>
    <n v="0"/>
    <n v="26464"/>
    <n v="1908.03"/>
    <n v="0.51"/>
    <n v="66.61"/>
    <n v="112382"/>
    <s v="4th"/>
  </r>
  <r>
    <x v="181"/>
    <x v="3"/>
    <n v="5759"/>
    <x v="3"/>
    <x v="181"/>
    <n v="2449"/>
    <n v="2"/>
    <n v="1001"/>
    <n v="4273"/>
    <n v="70.94"/>
    <n v="0.06"/>
    <n v="74.2"/>
    <n v="25400"/>
    <s v="5th"/>
  </r>
  <r>
    <x v="182"/>
    <x v="5"/>
    <n v="202239"/>
    <x v="2"/>
    <x v="182"/>
    <n v="1605"/>
    <n v="31"/>
    <n v="15370"/>
    <n v="178707"/>
    <n v="9.44"/>
    <n v="0.18"/>
    <n v="88.36"/>
    <n v="187397"/>
    <s v="4th"/>
  </r>
  <r>
    <x v="183"/>
    <x v="2"/>
    <n v="34085"/>
    <x v="0"/>
    <x v="183"/>
    <n v="26011"/>
    <n v="128"/>
    <n v="46"/>
    <n v="26185"/>
    <n v="99.34"/>
    <n v="0.49"/>
    <n v="76.819999999999993"/>
    <n v="196855"/>
    <s v="4th"/>
  </r>
  <r>
    <x v="184"/>
    <x v="1"/>
    <n v="227679"/>
    <x v="1"/>
    <x v="184"/>
    <n v="6685"/>
    <n v="80"/>
    <n v="13"/>
    <n v="200313"/>
    <n v="98.63"/>
    <n v="1.18"/>
    <n v="87.98"/>
    <n v="29600"/>
    <s v="4th"/>
  </r>
  <r>
    <x v="185"/>
    <x v="0"/>
    <n v="35844909"/>
    <x v="0"/>
    <x v="185"/>
    <n v="235145.5"/>
    <n v="9646"/>
    <n v="596678"/>
    <n v="19267758"/>
    <n v="27.94"/>
    <n v="1.1499999999999999"/>
    <n v="53.75"/>
    <n v="45481735"/>
    <s v="3rd"/>
  </r>
  <r>
    <x v="186"/>
    <x v="1"/>
    <n v="17653671"/>
    <x v="2"/>
    <x v="186"/>
    <n v="87024"/>
    <n v="1971"/>
    <n v="58"/>
    <n v="8694967"/>
    <n v="97.72"/>
    <n v="2.21"/>
    <n v="49.25"/>
    <n v="1146543"/>
    <s v="3rd"/>
  </r>
  <r>
    <x v="187"/>
    <x v="2"/>
    <n v="8653016"/>
    <x v="3"/>
    <x v="187"/>
    <n v="2596608"/>
    <n v="18057"/>
    <n v="389"/>
    <n v="5033110"/>
    <n v="99.29"/>
    <n v="0.69"/>
    <n v="58.17"/>
    <n v="13463733"/>
    <s v="3rd"/>
  </r>
  <r>
    <x v="188"/>
    <x v="1"/>
    <n v="99426"/>
    <x v="3"/>
    <x v="188"/>
    <n v="51048"/>
    <n v="172"/>
    <n v="0"/>
    <n v="88138"/>
    <n v="99.66"/>
    <n v="0.34"/>
    <n v="88.65"/>
    <n v="2226216"/>
    <s v="3rd"/>
  </r>
  <r>
    <x v="189"/>
    <x v="1"/>
    <n v="8306436"/>
    <x v="1"/>
    <x v="189"/>
    <n v="235145.5"/>
    <n v="126"/>
    <n v="0"/>
    <n v="4975474"/>
    <n v="3022.82"/>
    <n v="1.62"/>
    <n v="59.9"/>
    <n v="259958"/>
    <s v="4th"/>
  </r>
  <r>
    <x v="190"/>
    <x v="0"/>
    <n v="5943546"/>
    <x v="2"/>
    <x v="190"/>
    <n v="3004131"/>
    <n v="2024"/>
    <n v="0"/>
    <n v="3006155"/>
    <n v="99.93"/>
    <n v="7.0000000000000007E-2"/>
    <n v="50.58"/>
    <n v="24756666"/>
    <s v="3rd"/>
  </r>
  <r>
    <x v="191"/>
    <x v="3"/>
    <n v="43966"/>
    <x v="2"/>
    <x v="191"/>
    <n v="10905"/>
    <n v="92"/>
    <n v="54"/>
    <n v="36270"/>
    <n v="98.68"/>
    <n v="0.83"/>
    <n v="82.5"/>
    <n v="62056"/>
    <s v="4th"/>
  </r>
  <r>
    <x v="192"/>
    <x v="2"/>
    <n v="5460193"/>
    <x v="2"/>
    <x v="192"/>
    <n v="1856381"/>
    <n v="21224"/>
    <n v="0"/>
    <n v="3610887"/>
    <n v="98.87"/>
    <n v="1.1299999999999999"/>
    <n v="66.13"/>
    <n v="7448789"/>
    <s v="3rd"/>
  </r>
  <r>
    <x v="193"/>
    <x v="2"/>
    <n v="2078034"/>
    <x v="1"/>
    <x v="193"/>
    <n v="1349424"/>
    <n v="7100"/>
    <n v="22"/>
    <n v="1356546"/>
    <n v="99.47"/>
    <n v="0.52"/>
    <n v="65.28"/>
    <n v="2847701"/>
    <s v="3rd"/>
  </r>
  <r>
    <x v="194"/>
    <x v="5"/>
    <n v="721159"/>
    <x v="1"/>
    <x v="194"/>
    <n v="235145.5"/>
    <n v="199"/>
    <n v="0"/>
    <n v="674426"/>
    <n v="906.01"/>
    <n v="0.77"/>
    <n v="93.52"/>
    <n v="2226216"/>
    <s v="4th"/>
  </r>
  <r>
    <x v="195"/>
    <x v="1"/>
    <n v="16841795"/>
    <x v="3"/>
    <x v="195"/>
    <n v="13182"/>
    <n v="1361"/>
    <n v="12791"/>
    <n v="11196105"/>
    <n v="48.23"/>
    <n v="4.9800000000000004"/>
    <n v="66.48"/>
    <n v="400466"/>
    <s v="4th"/>
  </r>
  <r>
    <x v="196"/>
    <x v="1"/>
    <n v="60756135"/>
    <x v="1"/>
    <x v="196"/>
    <n v="3912506"/>
    <n v="102595"/>
    <n v="61362"/>
    <n v="37034036"/>
    <n v="95.98"/>
    <n v="2.52"/>
    <n v="60.96"/>
    <n v="26795090"/>
    <s v="3rd"/>
  </r>
  <r>
    <x v="197"/>
    <x v="4"/>
    <n v="5797805"/>
    <x v="2"/>
    <x v="197"/>
    <n v="66683585"/>
    <n v="1367332"/>
    <n v="2149962"/>
    <n v="5797805"/>
    <n v="94.99"/>
    <n v="1.95"/>
    <n v="100"/>
    <n v="2226216"/>
    <s v="2nd"/>
  </r>
  <r>
    <x v="198"/>
    <x v="1"/>
    <n v="11618511"/>
    <x v="2"/>
    <x v="198"/>
    <n v="18115"/>
    <n v="147"/>
    <n v="557"/>
    <n v="10108506"/>
    <n v="96.26"/>
    <n v="0.78"/>
    <n v="87"/>
    <n v="410280"/>
    <s v="4th"/>
  </r>
  <r>
    <x v="199"/>
    <x v="2"/>
    <n v="46719142"/>
    <x v="1"/>
    <x v="199"/>
    <n v="13762417"/>
    <n v="121760"/>
    <n v="30634"/>
    <n v="39156061"/>
    <n v="98.9"/>
    <n v="0.88"/>
    <n v="83.81"/>
    <n v="471036328"/>
    <s v="2nd"/>
  </r>
  <r>
    <x v="200"/>
    <x v="0"/>
    <n v="21575842"/>
    <x v="2"/>
    <x v="200"/>
    <n v="655852"/>
    <n v="16897"/>
    <n v="5"/>
    <n v="10652333"/>
    <n v="97.49"/>
    <n v="2.5099999999999998"/>
    <n v="49.37"/>
    <n v="6486117"/>
    <s v="3rd"/>
  </r>
  <r>
    <x v="201"/>
    <x v="3"/>
    <n v="9945"/>
    <x v="0"/>
    <x v="201"/>
    <n v="235145.5"/>
    <n v="6"/>
    <n v="0"/>
    <n v="8509"/>
    <n v="4269.9399999999996"/>
    <n v="0.11"/>
    <n v="85.56"/>
    <n v="78646"/>
    <s v="4th"/>
  </r>
  <r>
    <x v="202"/>
    <x v="3"/>
    <n v="111551"/>
    <x v="2"/>
    <x v="202"/>
    <n v="9493"/>
    <n v="124"/>
    <n v="57"/>
    <n v="55906"/>
    <n v="98.13"/>
    <n v="1.28"/>
    <n v="50.12"/>
    <n v="114197"/>
    <s v="4th"/>
  </r>
  <r>
    <x v="203"/>
    <x v="1"/>
    <n v="45992020"/>
    <x v="0"/>
    <x v="203"/>
    <n v="58947"/>
    <n v="5046"/>
    <n v="0"/>
    <n v="34580347"/>
    <n v="92.11"/>
    <n v="7.89"/>
    <n v="75.19"/>
    <n v="562941"/>
    <s v="3rd"/>
  </r>
  <r>
    <x v="204"/>
    <x v="4"/>
    <n v="596831"/>
    <x v="3"/>
    <x v="204"/>
    <n v="235145.5"/>
    <n v="1408"/>
    <n v="0"/>
    <n v="534107"/>
    <n v="284.72000000000003"/>
    <n v="1.7"/>
    <n v="89.49"/>
    <n v="242207"/>
    <s v="3rd"/>
  </r>
  <r>
    <x v="205"/>
    <x v="2"/>
    <n v="10218971"/>
    <x v="0"/>
    <x v="205"/>
    <n v="2726492"/>
    <n v="27407"/>
    <n v="230"/>
    <n v="4918801"/>
    <n v="99"/>
    <n v="1"/>
    <n v="48.13"/>
    <n v="19500873"/>
    <s v="3rd"/>
  </r>
  <r>
    <x v="206"/>
    <x v="2"/>
    <n v="8773637"/>
    <x v="0"/>
    <x v="206"/>
    <n v="4438309"/>
    <n v="14452"/>
    <n v="292"/>
    <n v="6339394"/>
    <n v="99.67"/>
    <n v="0.32"/>
    <n v="72.260000000000005"/>
    <n v="23833472"/>
    <s v="3rd"/>
  </r>
  <r>
    <x v="207"/>
    <x v="0"/>
    <n v="19364809"/>
    <x v="0"/>
    <x v="207"/>
    <n v="54578"/>
    <n v="3165"/>
    <n v="0"/>
    <n v="11415676"/>
    <n v="94.52"/>
    <n v="5.48"/>
    <n v="58.95"/>
    <n v="146269"/>
    <s v="3rd"/>
  </r>
  <r>
    <x v="208"/>
    <x v="0"/>
    <n v="23888595"/>
    <x v="2"/>
    <x v="208"/>
    <n v="10222518"/>
    <n v="19005"/>
    <n v="0"/>
    <n v="13674432"/>
    <n v="99.81"/>
    <n v="0.19"/>
    <n v="57.24"/>
    <n v="30742304"/>
    <s v="2nd"/>
  </r>
  <r>
    <x v="209"/>
    <x v="0"/>
    <n v="9957464"/>
    <x v="2"/>
    <x v="209"/>
    <n v="17264"/>
    <n v="125"/>
    <n v="397"/>
    <n v="7516543"/>
    <n v="97.07"/>
    <n v="0.7"/>
    <n v="75.489999999999995"/>
    <n v="2226216"/>
    <s v="4th"/>
  </r>
  <r>
    <x v="210"/>
    <x v="1"/>
    <n v="63298550"/>
    <x v="3"/>
    <x v="210"/>
    <n v="235145.5"/>
    <n v="846"/>
    <n v="0"/>
    <n v="29995551"/>
    <n v="544.03"/>
    <n v="1.96"/>
    <n v="47.39"/>
    <n v="2226216"/>
    <s v="4th"/>
  </r>
  <r>
    <x v="211"/>
    <x v="0"/>
    <n v="70078203"/>
    <x v="3"/>
    <x v="211"/>
    <n v="4692636"/>
    <n v="34586"/>
    <n v="42927"/>
    <n v="59556859"/>
    <n v="98.38"/>
    <n v="0.73"/>
    <n v="84.99"/>
    <n v="17273454"/>
    <s v="3rd"/>
  </r>
  <r>
    <x v="212"/>
    <x v="0"/>
    <n v="1369429"/>
    <x v="1"/>
    <x v="212"/>
    <n v="23102"/>
    <n v="138"/>
    <n v="220"/>
    <n v="880357"/>
    <n v="98.47"/>
    <n v="0.59"/>
    <n v="64.290000000000006"/>
    <n v="278529"/>
    <s v="4th"/>
  </r>
  <r>
    <x v="213"/>
    <x v="1"/>
    <n v="8680837"/>
    <x v="3"/>
    <x v="213"/>
    <n v="39281"/>
    <n v="290"/>
    <n v="1"/>
    <n v="6260518"/>
    <n v="99.26"/>
    <n v="0.73"/>
    <n v="72.12"/>
    <n v="815204"/>
    <s v="4th"/>
  </r>
  <r>
    <x v="214"/>
    <x v="5"/>
    <n v="1378"/>
    <x v="0"/>
    <x v="214"/>
    <n v="235145.5"/>
    <n v="2570"/>
    <n v="0"/>
    <n v="1271"/>
    <n v="293931.88"/>
    <n v="3212.5"/>
    <n v="92.24"/>
    <n v="2226216"/>
    <s v="5th"/>
  </r>
  <r>
    <x v="215"/>
    <x v="5"/>
    <n v="107749"/>
    <x v="3"/>
    <x v="215"/>
    <n v="15638"/>
    <n v="13"/>
    <n v="1299"/>
    <n v="96228"/>
    <n v="92.26"/>
    <n v="0.08"/>
    <n v="89.31"/>
    <n v="535009"/>
    <s v="4th"/>
  </r>
  <r>
    <x v="216"/>
    <x v="3"/>
    <n v="1406585"/>
    <x v="2"/>
    <x v="216"/>
    <n v="187078"/>
    <n v="4390"/>
    <n v="28"/>
    <n v="674380"/>
    <n v="97.69"/>
    <n v="2.29"/>
    <n v="47.94"/>
    <n v="913289"/>
    <s v="3rd"/>
  </r>
  <r>
    <x v="217"/>
    <x v="1"/>
    <n v="12046656"/>
    <x v="1"/>
    <x v="217"/>
    <n v="235145.5"/>
    <n v="29423"/>
    <n v="888792"/>
    <n v="6765230"/>
    <n v="20.39"/>
    <n v="2.5499999999999998"/>
    <n v="56.16"/>
    <n v="5013383"/>
    <s v="3rd"/>
  </r>
  <r>
    <x v="218"/>
    <x v="0"/>
    <n v="85561976"/>
    <x v="3"/>
    <x v="218"/>
    <n v="235145.5"/>
    <n v="102174"/>
    <n v="16894746"/>
    <n v="61846852"/>
    <n v="1.36"/>
    <n v="0.59"/>
    <n v="72.28"/>
    <n v="162743369"/>
    <s v="2nd"/>
  </r>
  <r>
    <x v="219"/>
    <x v="3"/>
    <n v="39741"/>
    <x v="1"/>
    <x v="219"/>
    <n v="6709"/>
    <n v="40"/>
    <n v="3"/>
    <n v="23571"/>
    <n v="99.36"/>
    <n v="0.59"/>
    <n v="59.31"/>
    <n v="616788"/>
    <s v="4th"/>
  </r>
  <r>
    <x v="220"/>
    <x v="5"/>
    <n v="12066"/>
    <x v="0"/>
    <x v="220"/>
    <n v="235145.5"/>
    <n v="1"/>
    <n v="0"/>
    <n v="6774"/>
    <n v="7989.99"/>
    <n v="0.03"/>
    <n v="56.14"/>
    <n v="2226216"/>
    <s v="5th"/>
  </r>
  <r>
    <x v="221"/>
    <x v="0"/>
    <n v="10081785"/>
    <x v="2"/>
    <x v="221"/>
    <n v="235145.5"/>
    <n v="2349"/>
    <n v="829536"/>
    <n v="6471145"/>
    <n v="22.04"/>
    <n v="0.22"/>
    <n v="64.19"/>
    <n v="200732262"/>
    <s v="3rd"/>
  </r>
  <r>
    <x v="222"/>
    <x v="2"/>
    <n v="68497907"/>
    <x v="1"/>
    <x v="222"/>
    <n v="24678275"/>
    <n v="232112"/>
    <n v="0"/>
    <n v="34938064"/>
    <n v="99.07"/>
    <n v="0.93"/>
    <n v="51.01"/>
    <n v="522526476"/>
    <s v="2nd"/>
  </r>
  <r>
    <x v="223"/>
    <x v="3"/>
    <n v="334805269"/>
    <x v="2"/>
    <x v="223"/>
    <n v="109814428"/>
    <n v="1219487"/>
    <n v="786167"/>
    <n v="317607199"/>
    <n v="98.21"/>
    <n v="1.0900000000000001"/>
    <n v="94.86"/>
    <n v="1186851502"/>
    <s v="1st"/>
  </r>
  <r>
    <x v="224"/>
    <x v="1"/>
    <n v="48432863"/>
    <x v="2"/>
    <x v="224"/>
    <n v="100431"/>
    <n v="3632"/>
    <n v="68086"/>
    <n v="42470154"/>
    <n v="58.34"/>
    <n v="2.11"/>
    <n v="87.69"/>
    <n v="3012408"/>
    <s v="3rd"/>
  </r>
  <r>
    <x v="225"/>
    <x v="2"/>
    <n v="43192122"/>
    <x v="3"/>
    <x v="225"/>
    <n v="5445577"/>
    <n v="112418"/>
    <n v="0"/>
    <n v="37636387"/>
    <n v="97.98"/>
    <n v="2.02"/>
    <n v="87.14"/>
    <n v="32603805"/>
    <s v="3rd"/>
  </r>
  <r>
    <x v="226"/>
    <x v="4"/>
    <n v="3496016"/>
    <x v="3"/>
    <x v="226"/>
    <n v="1030944"/>
    <n v="7664"/>
    <n v="2503"/>
    <n v="2780356"/>
    <n v="99.02"/>
    <n v="0.74"/>
    <n v="79.53"/>
    <n v="6114822"/>
    <s v="3rd"/>
  </r>
  <r>
    <x v="227"/>
    <x v="0"/>
    <n v="34382084"/>
    <x v="3"/>
    <x v="227"/>
    <n v="241486"/>
    <n v="1637"/>
    <n v="10539"/>
    <n v="26507689"/>
    <n v="95.2"/>
    <n v="0.65"/>
    <n v="77.099999999999994"/>
    <n v="1377915"/>
    <s v="3rd"/>
  </r>
  <r>
    <x v="228"/>
    <x v="5"/>
    <n v="321832"/>
    <x v="1"/>
    <x v="228"/>
    <n v="11976"/>
    <n v="14"/>
    <n v="29"/>
    <n v="264281"/>
    <n v="99.64"/>
    <n v="0.12"/>
    <n v="82.12"/>
    <n v="24976"/>
    <s v="4th"/>
  </r>
  <r>
    <x v="229"/>
    <x v="2"/>
    <n v="799"/>
    <x v="2"/>
    <x v="229"/>
    <n v="29"/>
    <n v="2570"/>
    <n v="0"/>
    <n v="561"/>
    <n v="100"/>
    <n v="8862.07"/>
    <n v="70.209999999999994"/>
    <n v="2226216"/>
    <s v="5th"/>
  </r>
  <r>
    <x v="230"/>
    <x v="4"/>
    <n v="29266991"/>
    <x v="2"/>
    <x v="230"/>
    <n v="546537"/>
    <n v="5856"/>
    <n v="302"/>
    <n v="26640736"/>
    <n v="98.89"/>
    <n v="1.06"/>
    <n v="91.03"/>
    <n v="3359014"/>
    <s v="3rd"/>
  </r>
  <r>
    <x v="231"/>
    <x v="0"/>
    <n v="98953541"/>
    <x v="1"/>
    <x v="231"/>
    <n v="10640971"/>
    <n v="43206"/>
    <n v="941018"/>
    <n v="82033915"/>
    <n v="91.53"/>
    <n v="0.37"/>
    <n v="82.9"/>
    <n v="85826548"/>
    <s v="2nd"/>
  </r>
  <r>
    <x v="232"/>
    <x v="5"/>
    <n v="10982"/>
    <x v="3"/>
    <x v="232"/>
    <n v="438"/>
    <n v="8"/>
    <n v="3104"/>
    <n v="8729"/>
    <n v="12.34"/>
    <n v="0.23"/>
    <n v="79.48"/>
    <n v="20508"/>
    <s v="5th"/>
  </r>
  <r>
    <x v="233"/>
    <x v="1"/>
    <n v="626161"/>
    <x v="3"/>
    <x v="233"/>
    <n v="9"/>
    <n v="1"/>
    <n v="0"/>
    <n v="424296"/>
    <n v="90"/>
    <n v="10"/>
    <n v="67.760000000000005"/>
    <n v="2226216"/>
    <s v="5th"/>
  </r>
  <r>
    <x v="234"/>
    <x v="0"/>
    <n v="31154867"/>
    <x v="1"/>
    <x v="234"/>
    <n v="9124"/>
    <n v="2159"/>
    <n v="662"/>
    <n v="19037721"/>
    <n v="76.38"/>
    <n v="18.07"/>
    <n v="61.11"/>
    <n v="329592"/>
    <s v="4th"/>
  </r>
  <r>
    <x v="235"/>
    <x v="1"/>
    <n v="19470234"/>
    <x v="1"/>
    <x v="235"/>
    <n v="341316"/>
    <n v="4069"/>
    <n v="3919"/>
    <n v="14827885"/>
    <n v="97.71"/>
    <n v="1.1599999999999999"/>
    <n v="76.16"/>
    <n v="4112961"/>
    <s v="3rd"/>
  </r>
  <r>
    <x v="236"/>
    <x v="1"/>
    <n v="15331428"/>
    <x v="3"/>
    <x v="236"/>
    <n v="258888"/>
    <n v="5740"/>
    <n v="1731"/>
    <n v="10105765"/>
    <n v="97.2"/>
    <n v="2.15"/>
    <n v="65.92"/>
    <n v="2525756"/>
    <s v="3r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38">
  <r>
    <s v="Afghanistan"/>
    <s v="Asia"/>
    <n v="40754388"/>
    <n v="2021"/>
    <n v="234174"/>
    <n v="211080"/>
    <n v="7996"/>
    <n v="15098"/>
    <n v="25520706"/>
    <n v="90.14"/>
    <n v="3.41"/>
    <n v="62.62"/>
    <n v="1390730"/>
    <x v="0"/>
  </r>
  <r>
    <s v="Africa"/>
    <s v="Africa"/>
    <n v="5797805"/>
    <n v="2023"/>
    <n v="12860924"/>
    <n v="12090808"/>
    <n v="258892"/>
    <n v="511224"/>
    <n v="5797805"/>
    <n v="94.01"/>
    <n v="2.0099999999999998"/>
    <n v="100"/>
    <n v="2226216"/>
    <x v="1"/>
  </r>
  <r>
    <s v="Albania"/>
    <s v="Europe"/>
    <n v="2866374"/>
    <n v="2020"/>
    <n v="334863"/>
    <n v="330233"/>
    <n v="3605"/>
    <n v="1025"/>
    <n v="1400822"/>
    <n v="98.62"/>
    <n v="1.08"/>
    <n v="48.87"/>
    <n v="1941032"/>
    <x v="0"/>
  </r>
  <r>
    <s v="Algeria"/>
    <s v="Africa"/>
    <n v="45350148"/>
    <n v="2023"/>
    <n v="272010"/>
    <n v="183061"/>
    <n v="6881"/>
    <n v="82068"/>
    <n v="29017896"/>
    <n v="67.3"/>
    <n v="2.5299999999999998"/>
    <n v="63.99"/>
    <n v="230960"/>
    <x v="0"/>
  </r>
  <r>
    <s v="Andorra"/>
    <s v="Europe"/>
    <n v="77463"/>
    <n v="2023"/>
    <n v="48015"/>
    <n v="235145.5"/>
    <n v="165"/>
    <n v="0"/>
    <n v="58720"/>
    <n v="489.73"/>
    <n v="0.34"/>
    <n v="75.8"/>
    <n v="249838"/>
    <x v="2"/>
  </r>
  <r>
    <s v="Angola"/>
    <s v="Africa"/>
    <n v="35027343"/>
    <n v="2023"/>
    <n v="107327"/>
    <n v="103419"/>
    <n v="1937"/>
    <n v="1971"/>
    <n v="30386555"/>
    <n v="96.36"/>
    <n v="1.8"/>
    <n v="86.75"/>
    <n v="1499795"/>
    <x v="0"/>
  </r>
  <r>
    <s v="Anguilla"/>
    <s v="North-America"/>
    <n v="15230"/>
    <n v="2020"/>
    <n v="3904"/>
    <n v="235145.5"/>
    <n v="12"/>
    <n v="0"/>
    <n v="9247"/>
    <n v="6023.19"/>
    <n v="0.31"/>
    <n v="60.72"/>
    <n v="51382"/>
    <x v="3"/>
  </r>
  <r>
    <s v="Antigua-and-Barbuda"/>
    <s v="North-America"/>
    <n v="99509"/>
    <n v="2020"/>
    <n v="9106"/>
    <n v="8954"/>
    <n v="146"/>
    <n v="6"/>
    <n v="47113"/>
    <n v="98.33"/>
    <n v="1.6"/>
    <n v="47.35"/>
    <n v="18901"/>
    <x v="2"/>
  </r>
  <r>
    <s v="Argentina"/>
    <s v="South-America"/>
    <n v="46010234"/>
    <n v="2020"/>
    <n v="10128845"/>
    <n v="9997258"/>
    <n v="130841"/>
    <n v="746"/>
    <n v="28727564"/>
    <n v="98.7"/>
    <n v="1.29"/>
    <n v="62.44"/>
    <n v="35716069"/>
    <x v="1"/>
  </r>
  <r>
    <s v="Armenia"/>
    <s v="Asia"/>
    <n v="2971966"/>
    <n v="2020"/>
    <n v="451831"/>
    <n v="435162"/>
    <n v="8777"/>
    <n v="7892"/>
    <n v="2009941"/>
    <n v="96.31"/>
    <n v="1.94"/>
    <n v="67.63"/>
    <n v="3242901"/>
    <x v="0"/>
  </r>
  <r>
    <s v="Aruba"/>
    <s v="North-America"/>
    <n v="107609"/>
    <n v="2021"/>
    <n v="44224"/>
    <n v="42438"/>
    <n v="292"/>
    <n v="1494"/>
    <n v="76311"/>
    <n v="95.96"/>
    <n v="0.66"/>
    <n v="70.92"/>
    <n v="177885"/>
    <x v="2"/>
  </r>
  <r>
    <s v="Asia"/>
    <s v="Asia"/>
    <n v="5797805"/>
    <n v="2020"/>
    <n v="221500265"/>
    <n v="205673091"/>
    <n v="1553662"/>
    <n v="14273512"/>
    <n v="5797805"/>
    <n v="92.85"/>
    <n v="0.7"/>
    <n v="100"/>
    <n v="2226216"/>
    <x v="4"/>
  </r>
  <r>
    <s v="Australia"/>
    <s v="Oceania"/>
    <n v="26068792"/>
    <n v="2020"/>
    <n v="11853144"/>
    <n v="11820014"/>
    <n v="24414"/>
    <n v="8716"/>
    <n v="22875672"/>
    <n v="99.72"/>
    <n v="0.21"/>
    <n v="87.75"/>
    <n v="81916639"/>
    <x v="1"/>
  </r>
  <r>
    <s v="Austria"/>
    <s v="Europe"/>
    <n v="9066710"/>
    <n v="2022"/>
    <n v="6081287"/>
    <n v="6054934"/>
    <n v="22542"/>
    <n v="3811"/>
    <n v="8527128"/>
    <n v="99.57"/>
    <n v="0.37"/>
    <n v="94.05"/>
    <n v="211273524"/>
    <x v="0"/>
  </r>
  <r>
    <s v="Azerbaijan"/>
    <s v="Asia"/>
    <n v="10300205"/>
    <n v="2022"/>
    <n v="835234"/>
    <n v="824089"/>
    <n v="10400"/>
    <n v="745"/>
    <n v="6480020"/>
    <n v="98.67"/>
    <n v="1.25"/>
    <n v="62.91"/>
    <n v="7748050"/>
    <x v="0"/>
  </r>
  <r>
    <s v="Bahamas"/>
    <s v="North-America"/>
    <n v="400516"/>
    <n v="2023"/>
    <n v="38084"/>
    <n v="36366"/>
    <n v="844"/>
    <n v="874"/>
    <n v="229910"/>
    <n v="95.49"/>
    <n v="2.2200000000000002"/>
    <n v="57.4"/>
    <n v="257839"/>
    <x v="2"/>
  </r>
  <r>
    <s v="Bahrain"/>
    <s v="Asia"/>
    <n v="1783983"/>
    <n v="2020"/>
    <n v="729549"/>
    <n v="727915"/>
    <n v="1574"/>
    <n v="60"/>
    <n v="1032501"/>
    <n v="99.78"/>
    <n v="0.22"/>
    <n v="57.88"/>
    <n v="10948549"/>
    <x v="0"/>
  </r>
  <r>
    <s v="Bangladesh"/>
    <s v="Asia"/>
    <n v="167885689"/>
    <n v="2023"/>
    <n v="2049377"/>
    <n v="235145.5"/>
    <n v="29493"/>
    <n v="1784738"/>
    <n v="144559529"/>
    <n v="11.47"/>
    <n v="1.44"/>
    <n v="86.11"/>
    <n v="15254399"/>
    <x v="0"/>
  </r>
  <r>
    <s v="Barbados"/>
    <s v="North-America"/>
    <n v="288023"/>
    <n v="2020"/>
    <n v="110578"/>
    <n v="108647"/>
    <n v="648"/>
    <n v="1283"/>
    <n v="208076"/>
    <n v="98.25"/>
    <n v="0.59"/>
    <n v="72.239999999999995"/>
    <n v="814159"/>
    <x v="0"/>
  </r>
  <r>
    <s v="Belarus"/>
    <s v="Europe"/>
    <n v="9432800"/>
    <n v="2023"/>
    <n v="994037"/>
    <n v="985592"/>
    <n v="7118"/>
    <n v="1327"/>
    <n v="6772062"/>
    <n v="99.15"/>
    <n v="0.72"/>
    <n v="71.790000000000006"/>
    <n v="13646641"/>
    <x v="0"/>
  </r>
  <r>
    <s v="Belgium"/>
    <s v="Europe"/>
    <n v="11668278"/>
    <n v="2020"/>
    <n v="4861695"/>
    <n v="4826798"/>
    <n v="34376"/>
    <n v="521"/>
    <n v="7235473"/>
    <n v="99.28"/>
    <n v="0.71"/>
    <n v="62.01"/>
    <n v="37454182"/>
    <x v="0"/>
  </r>
  <r>
    <s v="Belize"/>
    <s v="North-America"/>
    <n v="412190"/>
    <n v="2021"/>
    <n v="71409"/>
    <n v="235145.5"/>
    <n v="688"/>
    <n v="0"/>
    <n v="332348"/>
    <n v="329.29"/>
    <n v="0.96"/>
    <n v="80.63"/>
    <n v="576016"/>
    <x v="0"/>
  </r>
  <r>
    <s v="Benin"/>
    <s v="Africa"/>
    <n v="12784726"/>
    <n v="2020"/>
    <n v="28036"/>
    <n v="27847"/>
    <n v="163"/>
    <n v="26"/>
    <n v="9358025"/>
    <n v="99.33"/>
    <n v="0.57999999999999996"/>
    <n v="73.2"/>
    <n v="604310"/>
    <x v="2"/>
  </r>
  <r>
    <s v="Bermuda"/>
    <s v="North-America"/>
    <n v="61939"/>
    <n v="2021"/>
    <n v="18860"/>
    <n v="18685"/>
    <n v="165"/>
    <n v="10"/>
    <n v="39172"/>
    <n v="99.07"/>
    <n v="0.87"/>
    <n v="63.24"/>
    <n v="1029558"/>
    <x v="2"/>
  </r>
  <r>
    <s v="Bhutan"/>
    <s v="Asia"/>
    <n v="787941"/>
    <n v="2022"/>
    <n v="62697"/>
    <n v="61564"/>
    <n v="21"/>
    <n v="1112"/>
    <n v="684593"/>
    <n v="98.19"/>
    <n v="0.03"/>
    <n v="86.88"/>
    <n v="2303734"/>
    <x v="0"/>
  </r>
  <r>
    <s v="Bolivia"/>
    <s v="South-America"/>
    <n v="11992656"/>
    <n v="2021"/>
    <n v="1212131"/>
    <n v="1177145"/>
    <n v="22407"/>
    <n v="12579"/>
    <n v="6928200"/>
    <n v="97.11"/>
    <n v="1.85"/>
    <n v="57.77"/>
    <n v="2710261"/>
    <x v="0"/>
  </r>
  <r>
    <s v="Bosnia-and-Herzegovina"/>
    <s v="Europe"/>
    <n v="3249317"/>
    <n v="2022"/>
    <n v="403615"/>
    <n v="379084"/>
    <n v="16388"/>
    <n v="8143"/>
    <n v="1810360"/>
    <n v="93.92"/>
    <n v="4.0599999999999996"/>
    <n v="55.72"/>
    <n v="1884721"/>
    <x v="0"/>
  </r>
  <r>
    <s v="Botswana"/>
    <s v="Africa"/>
    <n v="2441162"/>
    <n v="2023"/>
    <n v="330638"/>
    <n v="327049"/>
    <n v="2801"/>
    <n v="788"/>
    <n v="1647016"/>
    <n v="98.91"/>
    <n v="0.85"/>
    <n v="67.47"/>
    <n v="2026898"/>
    <x v="0"/>
  </r>
  <r>
    <s v="Brazil"/>
    <s v="South-America"/>
    <n v="215353593"/>
    <n v="2021"/>
    <n v="38743918"/>
    <n v="36249161"/>
    <n v="711380"/>
    <n v="1783377"/>
    <n v="140304144"/>
    <n v="93.56"/>
    <n v="1.84"/>
    <n v="65.150000000000006"/>
    <n v="63776166"/>
    <x v="1"/>
  </r>
  <r>
    <s v="British-Virgin-Islands"/>
    <s v="North-America"/>
    <n v="30596"/>
    <n v="2022"/>
    <n v="7392"/>
    <n v="235145.5"/>
    <n v="64"/>
    <n v="0"/>
    <n v="19032"/>
    <n v="3181.08"/>
    <n v="0.87"/>
    <n v="62.2"/>
    <n v="107339"/>
    <x v="2"/>
  </r>
  <r>
    <s v="Brunei"/>
    <s v="Asia"/>
    <n v="445431"/>
    <n v="2021"/>
    <n v="343719"/>
    <n v="243601"/>
    <n v="225"/>
    <n v="99893"/>
    <n v="343719"/>
    <n v="70.87"/>
    <n v="7.0000000000000007E-2"/>
    <n v="77.17"/>
    <n v="717784"/>
    <x v="0"/>
  </r>
  <r>
    <s v="Bulgaria"/>
    <s v="Europe"/>
    <n v="6844597"/>
    <n v="2020"/>
    <n v="1339851"/>
    <n v="1292944"/>
    <n v="38748"/>
    <n v="8159"/>
    <n v="4567101"/>
    <n v="96.5"/>
    <n v="2.89"/>
    <n v="66.73"/>
    <n v="11671043"/>
    <x v="0"/>
  </r>
  <r>
    <s v="Burkina-Faso"/>
    <s v="Africa"/>
    <n v="22102838"/>
    <n v="2020"/>
    <n v="22114"/>
    <n v="21596"/>
    <n v="400"/>
    <n v="118"/>
    <n v="16211863"/>
    <n v="97.66"/>
    <n v="1.81"/>
    <n v="73.349999999999994"/>
    <n v="248995"/>
    <x v="2"/>
  </r>
  <r>
    <s v="Burundi"/>
    <s v="Africa"/>
    <n v="12624840"/>
    <n v="2023"/>
    <n v="54721"/>
    <n v="53569"/>
    <n v="38"/>
    <n v="1114"/>
    <n v="9240560"/>
    <n v="97.89"/>
    <n v="7.0000000000000007E-2"/>
    <n v="73.19"/>
    <n v="345742"/>
    <x v="0"/>
  </r>
  <r>
    <s v="CAR"/>
    <s v="Africa"/>
    <n v="5016678"/>
    <n v="2021"/>
    <n v="15440"/>
    <n v="15200"/>
    <n v="113"/>
    <n v="127"/>
    <n v="4410255"/>
    <n v="98.45"/>
    <n v="0.73"/>
    <n v="87.91"/>
    <n v="81294"/>
    <x v="2"/>
  </r>
  <r>
    <s v="Cabo-Verde"/>
    <s v="Africa"/>
    <n v="567678"/>
    <n v="2020"/>
    <n v="64477"/>
    <n v="63755"/>
    <n v="417"/>
    <n v="305"/>
    <n v="433449"/>
    <n v="98.88"/>
    <n v="0.65"/>
    <n v="76.349999999999994"/>
    <n v="401622"/>
    <x v="0"/>
  </r>
  <r>
    <s v="Cambodia"/>
    <s v="Asia"/>
    <n v="17168639"/>
    <n v="2023"/>
    <n v="139103"/>
    <n v="136044"/>
    <n v="3056"/>
    <n v="3"/>
    <n v="13795045"/>
    <n v="97.8"/>
    <n v="2.2000000000000002"/>
    <n v="80.349999999999994"/>
    <n v="3091420"/>
    <x v="0"/>
  </r>
  <r>
    <s v="Cameroon"/>
    <s v="Africa"/>
    <n v="27911548"/>
    <n v="2021"/>
    <n v="125379"/>
    <n v="123280"/>
    <n v="1974"/>
    <n v="125"/>
    <n v="21906608"/>
    <n v="98.33"/>
    <n v="1.57"/>
    <n v="78.489999999999995"/>
    <n v="1751774"/>
    <x v="0"/>
  </r>
  <r>
    <s v="Canada"/>
    <s v="North-America"/>
    <n v="38388419"/>
    <n v="2020"/>
    <n v="4946090"/>
    <n v="4881312"/>
    <n v="59034"/>
    <n v="5744"/>
    <n v="32719235"/>
    <n v="98.69"/>
    <n v="1.19"/>
    <n v="85.23"/>
    <n v="66572774"/>
    <x v="0"/>
  </r>
  <r>
    <s v="Caribbean-Netherlands"/>
    <s v="North-America"/>
    <n v="26647"/>
    <n v="2020"/>
    <n v="11682"/>
    <n v="10476"/>
    <n v="38"/>
    <n v="1168"/>
    <n v="18650"/>
    <n v="89.68"/>
    <n v="0.33"/>
    <n v="69.989999999999995"/>
    <n v="30126"/>
    <x v="2"/>
  </r>
  <r>
    <s v="Cayman-Islands"/>
    <s v="North-America"/>
    <n v="67277"/>
    <n v="2023"/>
    <n v="31472"/>
    <n v="8553"/>
    <n v="37"/>
    <n v="22882"/>
    <n v="48269"/>
    <n v="27.18"/>
    <n v="0.12"/>
    <n v="71.75"/>
    <n v="222773"/>
    <x v="2"/>
  </r>
  <r>
    <s v="Chad"/>
    <s v="Africa"/>
    <n v="17413580"/>
    <n v="2022"/>
    <n v="7701"/>
    <n v="4874"/>
    <n v="194"/>
    <n v="2633"/>
    <n v="13768304"/>
    <n v="63.29"/>
    <n v="2.52"/>
    <n v="79.069999999999993"/>
    <n v="191341"/>
    <x v="2"/>
  </r>
  <r>
    <s v="Channel-Islands"/>
    <s v="Europe"/>
    <n v="176463"/>
    <n v="2023"/>
    <n v="101717"/>
    <n v="101321"/>
    <n v="228"/>
    <n v="168"/>
    <n v="101717"/>
    <n v="99.61"/>
    <n v="0.22"/>
    <n v="57.64"/>
    <n v="1252808"/>
    <x v="0"/>
  </r>
  <r>
    <s v="Chile"/>
    <s v="South-America"/>
    <n v="19250195"/>
    <n v="2023"/>
    <n v="5384853"/>
    <n v="5252450"/>
    <n v="64497"/>
    <n v="67906"/>
    <n v="11698390"/>
    <n v="97.54"/>
    <n v="1.2"/>
    <n v="60.77"/>
    <n v="50382097"/>
    <x v="0"/>
  </r>
  <r>
    <s v="China"/>
    <s v="Asia"/>
    <n v="1448471400"/>
    <n v="2022"/>
    <n v="503302"/>
    <n v="379053"/>
    <n v="5272"/>
    <n v="118977"/>
    <n v="840194735"/>
    <n v="75.31"/>
    <n v="1.05"/>
    <n v="58.01"/>
    <n v="160000000"/>
    <x v="0"/>
  </r>
  <r>
    <s v="Colombia"/>
    <s v="South-America"/>
    <n v="51512762"/>
    <n v="2023"/>
    <n v="6400173"/>
    <n v="6212152"/>
    <n v="143200"/>
    <n v="44821"/>
    <n v="26374797"/>
    <n v="97.06"/>
    <n v="2.2400000000000002"/>
    <n v="51.2"/>
    <n v="36951507"/>
    <x v="0"/>
  </r>
  <r>
    <s v="Comoros"/>
    <s v="Africa"/>
    <n v="907419"/>
    <n v="2022"/>
    <n v="9109"/>
    <n v="8939"/>
    <n v="161"/>
    <n v="9"/>
    <n v="428646"/>
    <n v="98.13"/>
    <n v="1.77"/>
    <n v="47.24"/>
    <n v="2226216"/>
    <x v="2"/>
  </r>
  <r>
    <s v="Congo"/>
    <s v="Africa"/>
    <n v="5797805"/>
    <n v="2023"/>
    <n v="25375"/>
    <n v="24006"/>
    <n v="386"/>
    <n v="983"/>
    <n v="4956494"/>
    <n v="94.6"/>
    <n v="1.52"/>
    <n v="85.49"/>
    <n v="347815"/>
    <x v="2"/>
  </r>
  <r>
    <s v="Cook-Islands"/>
    <s v="Oceania"/>
    <n v="17571"/>
    <n v="2022"/>
    <n v="7203"/>
    <n v="7150"/>
    <n v="2"/>
    <n v="51"/>
    <n v="14665"/>
    <n v="99.26"/>
    <n v="0.03"/>
    <n v="83.46"/>
    <n v="19690"/>
    <x v="2"/>
  </r>
  <r>
    <s v="Costa-Rica"/>
    <s v="North-America"/>
    <n v="5182354"/>
    <n v="2020"/>
    <n v="1238883"/>
    <n v="235145.5"/>
    <n v="9428"/>
    <n v="994310"/>
    <n v="4142102"/>
    <n v="18.98"/>
    <n v="0.76"/>
    <n v="79.930000000000007"/>
    <n v="4659757"/>
    <x v="0"/>
  </r>
  <r>
    <s v="Croatia"/>
    <s v="Europe"/>
    <n v="4059286"/>
    <n v="2022"/>
    <n v="1309728"/>
    <n v="1258432"/>
    <n v="18687"/>
    <n v="32609"/>
    <n v="2685045"/>
    <n v="96.08"/>
    <n v="1.43"/>
    <n v="66.150000000000006"/>
    <n v="5660084"/>
    <x v="0"/>
  </r>
  <r>
    <s v="Cuba"/>
    <s v="North-America"/>
    <n v="11305652"/>
    <n v="2020"/>
    <n v="1115251"/>
    <n v="1106660"/>
    <n v="8530"/>
    <n v="61"/>
    <n v="8501473"/>
    <n v="99.23"/>
    <n v="0.76"/>
    <n v="75.2"/>
    <n v="14402674"/>
    <x v="0"/>
  </r>
  <r>
    <s v="Cura&amp;ccedil;ao"/>
    <s v="North-America"/>
    <n v="165529"/>
    <n v="2020"/>
    <n v="45986"/>
    <n v="44720"/>
    <n v="295"/>
    <n v="971"/>
    <n v="137792"/>
    <n v="97.25"/>
    <n v="0.64"/>
    <n v="83.24"/>
    <n v="496693"/>
    <x v="2"/>
  </r>
  <r>
    <s v="Cyprus"/>
    <s v="Asia"/>
    <n v="1223387"/>
    <n v="2020"/>
    <n v="681110"/>
    <n v="679745"/>
    <n v="1365"/>
    <n v="0"/>
    <n v="1027295"/>
    <n v="99.8"/>
    <n v="0.2"/>
    <n v="83.97"/>
    <n v="9640118"/>
    <x v="0"/>
  </r>
  <r>
    <s v="Czechia"/>
    <s v="Europe"/>
    <n v="10736784"/>
    <n v="2022"/>
    <n v="4759041"/>
    <n v="4715206"/>
    <n v="43517"/>
    <n v="318"/>
    <n v="5293964"/>
    <n v="99.08"/>
    <n v="0.91"/>
    <n v="49.31"/>
    <n v="57834241"/>
    <x v="0"/>
  </r>
  <r>
    <s v="DPRK"/>
    <s v="Asia"/>
    <n v="25990679"/>
    <n v="2023"/>
    <n v="4772813"/>
    <n v="4772739"/>
    <n v="74"/>
    <n v="0"/>
    <n v="16741798"/>
    <n v="100"/>
    <n v="0"/>
    <n v="64.41"/>
    <n v="2226216"/>
    <x v="0"/>
  </r>
  <r>
    <s v="DRC"/>
    <s v="Africa"/>
    <n v="95240792"/>
    <n v="2023"/>
    <n v="99338"/>
    <n v="84489"/>
    <n v="1468"/>
    <n v="13381"/>
    <n v="70359567"/>
    <n v="85.05"/>
    <n v="1.48"/>
    <n v="73.88"/>
    <n v="846704"/>
    <x v="0"/>
  </r>
  <r>
    <s v="Denmark"/>
    <s v="Europe"/>
    <n v="5834950"/>
    <n v="2020"/>
    <n v="3183756"/>
    <n v="3174942"/>
    <n v="8814"/>
    <n v="0"/>
    <n v="3747470"/>
    <n v="99.72"/>
    <n v="0.28000000000000003"/>
    <n v="64.22"/>
    <n v="129333107"/>
    <x v="0"/>
  </r>
  <r>
    <s v="Diamond-Princess"/>
    <s v="Africa"/>
    <n v="5797805"/>
    <n v="2022"/>
    <n v="712"/>
    <n v="699"/>
    <n v="13"/>
    <n v="0"/>
    <n v="2696696"/>
    <n v="98.17"/>
    <n v="1.83"/>
    <n v="46.51"/>
    <n v="2226216"/>
    <x v="3"/>
  </r>
  <r>
    <s v="Djibouti"/>
    <s v="Africa"/>
    <n v="1016097"/>
    <n v="2021"/>
    <n v="15690"/>
    <n v="15427"/>
    <n v="189"/>
    <n v="74"/>
    <n v="683578"/>
    <n v="98.32"/>
    <n v="1.2"/>
    <n v="67.27"/>
    <n v="305941"/>
    <x v="2"/>
  </r>
  <r>
    <s v="Dominica"/>
    <s v="North-America"/>
    <n v="72344"/>
    <n v="2020"/>
    <n v="16038"/>
    <n v="15964"/>
    <n v="74"/>
    <n v="0"/>
    <n v="54002"/>
    <n v="99.54"/>
    <n v="0.46"/>
    <n v="74.650000000000006"/>
    <n v="229344"/>
    <x v="2"/>
  </r>
  <r>
    <s v="Dominican-Republic"/>
    <s v="North-America"/>
    <n v="11056370"/>
    <n v="2022"/>
    <n v="675890"/>
    <n v="671316"/>
    <n v="4384"/>
    <n v="190"/>
    <n v="8130771"/>
    <n v="99.32"/>
    <n v="0.65"/>
    <n v="73.540000000000006"/>
    <n v="3740928"/>
    <x v="0"/>
  </r>
  <r>
    <s v="Ecuador"/>
    <s v="South-America"/>
    <n v="18113361"/>
    <n v="2021"/>
    <n v="1070188"/>
    <n v="1034145"/>
    <n v="36043"/>
    <n v="0"/>
    <n v="14838721"/>
    <n v="96.63"/>
    <n v="3.37"/>
    <n v="81.92"/>
    <n v="3082403"/>
    <x v="0"/>
  </r>
  <r>
    <s v="Egypt"/>
    <s v="Africa"/>
    <n v="106156692"/>
    <n v="2021"/>
    <n v="516023"/>
    <n v="442182"/>
    <n v="24613"/>
    <n v="49228"/>
    <n v="59733824"/>
    <n v="85.69"/>
    <n v="4.7699999999999996"/>
    <n v="56.27"/>
    <n v="3693367"/>
    <x v="0"/>
  </r>
  <r>
    <s v="El-Salvador"/>
    <s v="North-America"/>
    <n v="6550389"/>
    <n v="2022"/>
    <n v="201855"/>
    <n v="179410"/>
    <n v="4230"/>
    <n v="18215"/>
    <n v="3501415"/>
    <n v="88.88"/>
    <n v="2.1"/>
    <n v="53.45"/>
    <n v="2610114"/>
    <x v="0"/>
  </r>
  <r>
    <s v="Equatorial-Guinea"/>
    <s v="Africa"/>
    <n v="1496662"/>
    <n v="2021"/>
    <n v="17229"/>
    <n v="16907"/>
    <n v="183"/>
    <n v="139"/>
    <n v="934438"/>
    <n v="98.13"/>
    <n v="1.06"/>
    <n v="62.43"/>
    <n v="365697"/>
    <x v="2"/>
  </r>
  <r>
    <s v="Eritrea"/>
    <s v="Africa"/>
    <n v="3662244"/>
    <n v="2023"/>
    <n v="10189"/>
    <n v="10086"/>
    <n v="103"/>
    <n v="0"/>
    <n v="3100827"/>
    <n v="98.99"/>
    <n v="1.01"/>
    <n v="84.67"/>
    <n v="23693"/>
    <x v="2"/>
  </r>
  <r>
    <s v="Estonia"/>
    <s v="Europe"/>
    <n v="1321910"/>
    <n v="2023"/>
    <n v="628070"/>
    <n v="235145.5"/>
    <n v="3001"/>
    <n v="389924"/>
    <n v="1039817"/>
    <n v="37.44"/>
    <n v="0.48"/>
    <n v="78.66"/>
    <n v="6968103"/>
    <x v="0"/>
  </r>
  <r>
    <s v="Eswatini"/>
    <s v="Africa"/>
    <n v="1184817"/>
    <n v="2021"/>
    <n v="75191"/>
    <n v="73116"/>
    <n v="1427"/>
    <n v="648"/>
    <n v="914240"/>
    <n v="97.24"/>
    <n v="1.9"/>
    <n v="77.16"/>
    <n v="1048704"/>
    <x v="0"/>
  </r>
  <r>
    <s v="Ethiopia"/>
    <s v="Africa"/>
    <n v="120812698"/>
    <n v="2023"/>
    <n v="501157"/>
    <n v="488171"/>
    <n v="7574"/>
    <n v="5412"/>
    <n v="105836210"/>
    <n v="97.41"/>
    <n v="1.51"/>
    <n v="87.6"/>
    <n v="5565340"/>
    <x v="0"/>
  </r>
  <r>
    <s v="Europe"/>
    <s v="Europe"/>
    <n v="5797805"/>
    <n v="2020"/>
    <n v="253406198"/>
    <n v="248754104"/>
    <n v="2101824"/>
    <n v="2550270"/>
    <n v="5797805"/>
    <n v="98.16"/>
    <n v="0.83"/>
    <n v="100"/>
    <n v="2226216"/>
    <x v="4"/>
  </r>
  <r>
    <s v="Faeroe-Islands"/>
    <s v="Europe"/>
    <n v="49233"/>
    <n v="2020"/>
    <n v="34658"/>
    <n v="235145.5"/>
    <n v="28"/>
    <n v="0"/>
    <n v="34658"/>
    <n v="678.47"/>
    <n v="0.08"/>
    <n v="70.400000000000006"/>
    <n v="778000"/>
    <x v="2"/>
  </r>
  <r>
    <s v="Falkland-Islands"/>
    <s v="South-America"/>
    <n v="3539"/>
    <n v="2020"/>
    <n v="1930"/>
    <n v="1930"/>
    <n v="2570"/>
    <n v="0"/>
    <n v="1930"/>
    <n v="100"/>
    <n v="133.16"/>
    <n v="54.54"/>
    <n v="8632"/>
    <x v="3"/>
  </r>
  <r>
    <s v="Fiji"/>
    <s v="Oceania"/>
    <n v="909466"/>
    <n v="2020"/>
    <n v="69117"/>
    <n v="67226"/>
    <n v="885"/>
    <n v="1006"/>
    <n v="569444"/>
    <n v="97.26"/>
    <n v="1.28"/>
    <n v="62.61"/>
    <n v="672883"/>
    <x v="0"/>
  </r>
  <r>
    <s v="Finland"/>
    <s v="Europe"/>
    <n v="5554960"/>
    <n v="2022"/>
    <n v="1516117"/>
    <n v="1503989"/>
    <n v="11958"/>
    <n v="170"/>
    <n v="3672191"/>
    <n v="99.2"/>
    <n v="0.79"/>
    <n v="66.11"/>
    <n v="12108977"/>
    <x v="0"/>
  </r>
  <r>
    <s v="France"/>
    <s v="Europe"/>
    <n v="65584518"/>
    <n v="2020"/>
    <n v="40138560"/>
    <n v="39970918"/>
    <n v="167642"/>
    <n v="0"/>
    <n v="54764444"/>
    <n v="99.58"/>
    <n v="0.42"/>
    <n v="83.5"/>
    <n v="271490188"/>
    <x v="1"/>
  </r>
  <r>
    <s v="French-Guiana"/>
    <s v="South-America"/>
    <n v="314169"/>
    <n v="2023"/>
    <n v="98041"/>
    <n v="11254"/>
    <n v="420"/>
    <n v="86367"/>
    <n v="291103"/>
    <n v="11.48"/>
    <n v="0.43"/>
    <n v="92.66"/>
    <n v="651257"/>
    <x v="0"/>
  </r>
  <r>
    <s v="French-Polynesia"/>
    <s v="Oceania"/>
    <n v="284164"/>
    <n v="2023"/>
    <n v="79254"/>
    <n v="235145.5"/>
    <n v="650"/>
    <n v="0"/>
    <n v="206443"/>
    <n v="296.7"/>
    <n v="0.82"/>
    <n v="72.650000000000006"/>
    <n v="2226216"/>
    <x v="0"/>
  </r>
  <r>
    <s v="Gabon"/>
    <s v="Africa"/>
    <n v="2331533"/>
    <n v="2022"/>
    <n v="49051"/>
    <n v="48674"/>
    <n v="307"/>
    <n v="70"/>
    <n v="1981332"/>
    <n v="99.23"/>
    <n v="0.63"/>
    <n v="84.98"/>
    <n v="1621909"/>
    <x v="2"/>
  </r>
  <r>
    <s v="Gambia"/>
    <s v="Africa"/>
    <n v="2558482"/>
    <n v="2021"/>
    <n v="12626"/>
    <n v="12189"/>
    <n v="372"/>
    <n v="65"/>
    <n v="1656023"/>
    <n v="96.54"/>
    <n v="2.95"/>
    <n v="64.73"/>
    <n v="155686"/>
    <x v="2"/>
  </r>
  <r>
    <s v="Georgia"/>
    <s v="Asia"/>
    <n v="3968738"/>
    <n v="2023"/>
    <n v="1861665"/>
    <n v="235145.5"/>
    <n v="17132"/>
    <n v="1609388"/>
    <n v="2844160"/>
    <n v="12.63"/>
    <n v="0.92"/>
    <n v="71.66"/>
    <n v="16920079"/>
    <x v="0"/>
  </r>
  <r>
    <s v="Germany"/>
    <s v="Europe"/>
    <n v="83883596"/>
    <n v="2022"/>
    <n v="38828995"/>
    <n v="38240600"/>
    <n v="183027"/>
    <n v="405368"/>
    <n v="44041151"/>
    <n v="98.48"/>
    <n v="0.47"/>
    <n v="52.5"/>
    <n v="122332384"/>
    <x v="1"/>
  </r>
  <r>
    <s v="Ghana"/>
    <s v="Africa"/>
    <n v="32395450"/>
    <n v="2021"/>
    <n v="171889"/>
    <n v="170425"/>
    <n v="1462"/>
    <n v="2"/>
    <n v="29690653"/>
    <n v="99.15"/>
    <n v="0.85"/>
    <n v="91.65"/>
    <n v="2541625"/>
    <x v="0"/>
  </r>
  <r>
    <s v="Gibraltar"/>
    <s v="Europe"/>
    <n v="33704"/>
    <n v="2021"/>
    <n v="20550"/>
    <n v="235145.5"/>
    <n v="113"/>
    <n v="0"/>
    <n v="22186"/>
    <n v="1144.26"/>
    <n v="0.55000000000000004"/>
    <n v="65.83"/>
    <n v="534283"/>
    <x v="2"/>
  </r>
  <r>
    <s v="Greece"/>
    <s v="Europe"/>
    <n v="10316637"/>
    <n v="2021"/>
    <n v="6101379"/>
    <n v="235145.5"/>
    <n v="37869"/>
    <n v="5828364"/>
    <n v="6101379"/>
    <n v="3.85"/>
    <n v="0.62"/>
    <n v="59.14"/>
    <n v="102228365"/>
    <x v="0"/>
  </r>
  <r>
    <s v="Greenland"/>
    <s v="North-America"/>
    <n v="56973"/>
    <n v="2020"/>
    <n v="11971"/>
    <n v="2761"/>
    <n v="21"/>
    <n v="9189"/>
    <n v="42616"/>
    <n v="23.06"/>
    <n v="0.18"/>
    <n v="74.8"/>
    <n v="164926"/>
    <x v="2"/>
  </r>
  <r>
    <s v="Grenada"/>
    <s v="North-America"/>
    <n v="113475"/>
    <n v="2023"/>
    <n v="19693"/>
    <n v="19358"/>
    <n v="238"/>
    <n v="97"/>
    <n v="79255"/>
    <n v="98.3"/>
    <n v="1.21"/>
    <n v="69.84"/>
    <n v="182981"/>
    <x v="2"/>
  </r>
  <r>
    <s v="Guadeloupe"/>
    <s v="North-America"/>
    <n v="399794"/>
    <n v="2022"/>
    <n v="203235"/>
    <n v="235145.5"/>
    <n v="1021"/>
    <n v="0"/>
    <n v="203235"/>
    <n v="115.7"/>
    <n v="0.5"/>
    <n v="50.83"/>
    <n v="938039"/>
    <x v="0"/>
  </r>
  <r>
    <s v="Guatemala"/>
    <s v="North-America"/>
    <n v="18584039"/>
    <n v="2023"/>
    <n v="1291293"/>
    <n v="1269891"/>
    <n v="20289"/>
    <n v="1113"/>
    <n v="12185115"/>
    <n v="98.34"/>
    <n v="1.57"/>
    <n v="65.569999999999993"/>
    <n v="7593848"/>
    <x v="0"/>
  </r>
  <r>
    <s v="Guinea"/>
    <s v="Africa"/>
    <n v="13865691"/>
    <n v="2020"/>
    <n v="38572"/>
    <n v="37757"/>
    <n v="468"/>
    <n v="347"/>
    <n v="8463086"/>
    <n v="97.89"/>
    <n v="1.21"/>
    <n v="61.04"/>
    <n v="660107"/>
    <x v="2"/>
  </r>
  <r>
    <s v="Guinea-Bissau"/>
    <s v="Africa"/>
    <n v="2063367"/>
    <n v="2020"/>
    <n v="9614"/>
    <n v="8929"/>
    <n v="177"/>
    <n v="508"/>
    <n v="1013875"/>
    <n v="92.87"/>
    <n v="1.84"/>
    <n v="49.14"/>
    <n v="145231"/>
    <x v="2"/>
  </r>
  <r>
    <s v="Guyana"/>
    <s v="South-America"/>
    <n v="794045"/>
    <n v="2022"/>
    <n v="74137"/>
    <n v="72013"/>
    <n v="1300"/>
    <n v="824"/>
    <n v="750652"/>
    <n v="97.14"/>
    <n v="1.75"/>
    <n v="94.54"/>
    <n v="733218"/>
    <x v="0"/>
  </r>
  <r>
    <s v="Haiti"/>
    <s v="North-America"/>
    <n v="11680283"/>
    <n v="2023"/>
    <n v="34667"/>
    <n v="33734"/>
    <n v="860"/>
    <n v="73"/>
    <n v="9535807"/>
    <n v="97.31"/>
    <n v="2.48"/>
    <n v="81.64"/>
    <n v="132422"/>
    <x v="2"/>
  </r>
  <r>
    <s v="Honduras"/>
    <s v="North-America"/>
    <n v="10221247"/>
    <n v="2023"/>
    <n v="474590"/>
    <n v="235145.5"/>
    <n v="11165"/>
    <n v="228280"/>
    <n v="7163142"/>
    <n v="49.55"/>
    <n v="2.35"/>
    <n v="70.08"/>
    <n v="1660662"/>
    <x v="0"/>
  </r>
  <r>
    <s v="Hong-Kong"/>
    <s v="Asia"/>
    <n v="7604299"/>
    <n v="2023"/>
    <n v="2937609"/>
    <n v="2916005"/>
    <n v="14924"/>
    <n v="6680"/>
    <n v="7095685"/>
    <n v="99.26"/>
    <n v="0.51"/>
    <n v="93.31"/>
    <n v="76127725"/>
    <x v="0"/>
  </r>
  <r>
    <s v="Hungary"/>
    <s v="Europe"/>
    <n v="9606259"/>
    <n v="2022"/>
    <n v="2230232"/>
    <n v="2152155"/>
    <n v="49048"/>
    <n v="29029"/>
    <n v="5083476"/>
    <n v="96.5"/>
    <n v="2.2000000000000002"/>
    <n v="52.92"/>
    <n v="11394556"/>
    <x v="0"/>
  </r>
  <r>
    <s v="Iceland"/>
    <s v="Europe"/>
    <n v="345393"/>
    <n v="2023"/>
    <n v="209906"/>
    <n v="235145.5"/>
    <n v="229"/>
    <n v="0"/>
    <n v="209906"/>
    <n v="112.02"/>
    <n v="0.11"/>
    <n v="60.77"/>
    <n v="1996384"/>
    <x v="0"/>
  </r>
  <r>
    <s v="India"/>
    <s v="Asia"/>
    <n v="1406631776"/>
    <n v="2021"/>
    <n v="45035393"/>
    <n v="235145.5"/>
    <n v="533570"/>
    <n v="44266678"/>
    <n v="1117553948"/>
    <n v="0.52"/>
    <n v="1.18"/>
    <n v="79.45"/>
    <n v="935879495"/>
    <x v="1"/>
  </r>
  <r>
    <s v="Indonesia"/>
    <s v="Asia"/>
    <n v="279134505"/>
    <n v="2020"/>
    <n v="6829221"/>
    <n v="6647104"/>
    <n v="162063"/>
    <n v="20054"/>
    <n v="158093782"/>
    <n v="97.33"/>
    <n v="2.37"/>
    <n v="56.64"/>
    <n v="114158919"/>
    <x v="0"/>
  </r>
  <r>
    <s v="Iran"/>
    <s v="Asia"/>
    <n v="86022837"/>
    <n v="2020"/>
    <n v="7627186"/>
    <n v="235145.5"/>
    <n v="146811"/>
    <n v="7245230"/>
    <n v="73586424"/>
    <n v="3.08"/>
    <n v="1.92"/>
    <n v="85.54"/>
    <n v="57320267"/>
    <x v="0"/>
  </r>
  <r>
    <s v="Iraq"/>
    <s v="Asia"/>
    <n v="42164965"/>
    <n v="2022"/>
    <n v="2465545"/>
    <n v="2439497"/>
    <n v="25375"/>
    <n v="673"/>
    <n v="24422731"/>
    <n v="98.94"/>
    <n v="1.03"/>
    <n v="57.92"/>
    <n v="19544451"/>
    <x v="0"/>
  </r>
  <r>
    <s v="Ireland"/>
    <s v="Europe"/>
    <n v="5020199"/>
    <n v="2022"/>
    <n v="1734582"/>
    <n v="1724921"/>
    <n v="9491"/>
    <n v="170"/>
    <n v="4737030"/>
    <n v="99.44"/>
    <n v="0.55000000000000004"/>
    <n v="94.36"/>
    <n v="13083449"/>
    <x v="0"/>
  </r>
  <r>
    <s v="Isle-of-Man"/>
    <s v="Europe"/>
    <n v="85732"/>
    <n v="2022"/>
    <n v="38008"/>
    <n v="235145.5"/>
    <n v="116"/>
    <n v="0"/>
    <n v="65914"/>
    <n v="618.66999999999996"/>
    <n v="0.31"/>
    <n v="76.88"/>
    <n v="150753"/>
    <x v="2"/>
  </r>
  <r>
    <s v="Israel"/>
    <s v="Asia"/>
    <n v="9326000"/>
    <n v="2022"/>
    <n v="4841772"/>
    <n v="4798473"/>
    <n v="12707"/>
    <n v="30592"/>
    <n v="6935040"/>
    <n v="99.11"/>
    <n v="0.26"/>
    <n v="74.36"/>
    <n v="41373364"/>
    <x v="0"/>
  </r>
  <r>
    <s v="Italy"/>
    <s v="Europe"/>
    <n v="60262770"/>
    <n v="2022"/>
    <n v="26723249"/>
    <n v="26361218"/>
    <n v="196487"/>
    <n v="165544"/>
    <n v="40069839"/>
    <n v="98.65"/>
    <n v="0.74"/>
    <n v="66.489999999999995"/>
    <n v="281126449"/>
    <x v="1"/>
  </r>
  <r>
    <s v="Ivory-Coast"/>
    <s v="Africa"/>
    <n v="27742298"/>
    <n v="2020"/>
    <n v="88384"/>
    <n v="87497"/>
    <n v="835"/>
    <n v="52"/>
    <n v="20026238"/>
    <n v="99"/>
    <n v="0.94"/>
    <n v="72.19"/>
    <n v="1690934"/>
    <x v="0"/>
  </r>
  <r>
    <s v="Jamaica"/>
    <s v="North-America"/>
    <n v="2985094"/>
    <n v="2021"/>
    <n v="156869"/>
    <n v="235145.5"/>
    <n v="3756"/>
    <n v="0"/>
    <n v="2217395"/>
    <n v="149.9"/>
    <n v="2.39"/>
    <n v="74.28"/>
    <n v="1183986"/>
    <x v="0"/>
  </r>
  <r>
    <s v="Japan"/>
    <s v="Asia"/>
    <n v="125584838"/>
    <n v="2020"/>
    <n v="33803572"/>
    <n v="235145.5"/>
    <n v="74694"/>
    <n v="33493732"/>
    <n v="69565094"/>
    <n v="0.7"/>
    <n v="0.22"/>
    <n v="55.39"/>
    <n v="100414883"/>
    <x v="1"/>
  </r>
  <r>
    <s v="Jordan"/>
    <s v="Asia"/>
    <n v="10300869"/>
    <n v="2021"/>
    <n v="1746997"/>
    <n v="1731007"/>
    <n v="14122"/>
    <n v="1868"/>
    <n v="7677272"/>
    <n v="99.08"/>
    <n v="0.81"/>
    <n v="74.53"/>
    <n v="17201885"/>
    <x v="0"/>
  </r>
  <r>
    <s v="Kazakhstan"/>
    <s v="Asia"/>
    <n v="19205043"/>
    <n v="2022"/>
    <n v="1411831"/>
    <n v="1383020"/>
    <n v="13848"/>
    <n v="14963"/>
    <n v="16559986"/>
    <n v="97.96"/>
    <n v="0.98"/>
    <n v="86.23"/>
    <n v="11575012"/>
    <x v="0"/>
  </r>
  <r>
    <s v="Kenya"/>
    <s v="Africa"/>
    <n v="56215221"/>
    <n v="2020"/>
    <n v="344130"/>
    <n v="337309"/>
    <n v="5689"/>
    <n v="1132"/>
    <n v="48259195"/>
    <n v="98.02"/>
    <n v="1.65"/>
    <n v="85.85"/>
    <n v="3967062"/>
    <x v="0"/>
  </r>
  <r>
    <s v="Kiribati"/>
    <s v="Oceania"/>
    <n v="123419"/>
    <n v="2021"/>
    <n v="5085"/>
    <n v="2703"/>
    <n v="24"/>
    <n v="2358"/>
    <n v="77351"/>
    <n v="53.16"/>
    <n v="0.47"/>
    <n v="62.67"/>
    <n v="2226216"/>
    <x v="2"/>
  </r>
  <r>
    <s v="Kuwait"/>
    <s v="Asia"/>
    <n v="4380326"/>
    <n v="2020"/>
    <n v="667158"/>
    <n v="235145.5"/>
    <n v="2570"/>
    <n v="429442"/>
    <n v="3405286"/>
    <n v="35.25"/>
    <n v="0.39"/>
    <n v="77.739999999999995"/>
    <n v="8455743"/>
    <x v="0"/>
  </r>
  <r>
    <s v="Kyrgyzstan"/>
    <s v="Asia"/>
    <n v="6728271"/>
    <n v="2023"/>
    <n v="206897"/>
    <n v="196406"/>
    <n v="2991"/>
    <n v="7500"/>
    <n v="6110429"/>
    <n v="94.93"/>
    <n v="1.45"/>
    <n v="90.82"/>
    <n v="1907195"/>
    <x v="0"/>
  </r>
  <r>
    <s v="Laos"/>
    <s v="Asia"/>
    <n v="7481023"/>
    <n v="2020"/>
    <n v="218970"/>
    <n v="235145.5"/>
    <n v="758"/>
    <n v="0"/>
    <n v="6407079"/>
    <n v="107.39"/>
    <n v="0.35"/>
    <n v="85.64"/>
    <n v="1233207"/>
    <x v="0"/>
  </r>
  <r>
    <s v="Latvia"/>
    <s v="Europe"/>
    <n v="1848837"/>
    <n v="2020"/>
    <n v="982505"/>
    <n v="971406"/>
    <n v="6715"/>
    <n v="4384"/>
    <n v="1254539"/>
    <n v="98.87"/>
    <n v="0.68"/>
    <n v="67.86"/>
    <n v="7885792"/>
    <x v="0"/>
  </r>
  <r>
    <s v="Lebanon"/>
    <s v="Asia"/>
    <n v="6684849"/>
    <n v="2022"/>
    <n v="1243838"/>
    <n v="1087587"/>
    <n v="10952"/>
    <n v="145299"/>
    <n v="3533101"/>
    <n v="87.44"/>
    <n v="0.88"/>
    <n v="52.85"/>
    <n v="4795578"/>
    <x v="0"/>
  </r>
  <r>
    <s v="Lesotho"/>
    <s v="Africa"/>
    <n v="2175699"/>
    <n v="2023"/>
    <n v="36138"/>
    <n v="25980"/>
    <n v="723"/>
    <n v="9435"/>
    <n v="1603812"/>
    <n v="71.89"/>
    <n v="2"/>
    <n v="73.709999999999994"/>
    <n v="431221"/>
    <x v="2"/>
  </r>
  <r>
    <s v="Liberia"/>
    <s v="Africa"/>
    <n v="5305117"/>
    <n v="2020"/>
    <n v="8090"/>
    <n v="7783"/>
    <n v="295"/>
    <n v="12"/>
    <n v="3979603"/>
    <n v="96.21"/>
    <n v="3.65"/>
    <n v="75.010000000000005"/>
    <n v="139824"/>
    <x v="2"/>
  </r>
  <r>
    <s v="Libya"/>
    <s v="Africa"/>
    <n v="7040745"/>
    <n v="2021"/>
    <n v="507274"/>
    <n v="500835"/>
    <n v="6437"/>
    <n v="2"/>
    <n v="4580474"/>
    <n v="98.73"/>
    <n v="1.27"/>
    <n v="65.06"/>
    <n v="2483848"/>
    <x v="0"/>
  </r>
  <r>
    <s v="Liechtenstein"/>
    <s v="Europe"/>
    <n v="38387"/>
    <n v="2023"/>
    <n v="21574"/>
    <n v="235145.5"/>
    <n v="94"/>
    <n v="0"/>
    <n v="31826"/>
    <n v="1089.95"/>
    <n v="0.44"/>
    <n v="82.91"/>
    <n v="112457"/>
    <x v="2"/>
  </r>
  <r>
    <s v="Lithuania"/>
    <s v="Europe"/>
    <n v="2661708"/>
    <n v="2022"/>
    <n v="1397806"/>
    <n v="1387478"/>
    <n v="9897"/>
    <n v="431"/>
    <n v="2171463"/>
    <n v="99.26"/>
    <n v="0.71"/>
    <n v="81.58"/>
    <n v="10540357"/>
    <x v="0"/>
  </r>
  <r>
    <s v="Luxembourg"/>
    <s v="Europe"/>
    <n v="642371"/>
    <n v="2021"/>
    <n v="391232"/>
    <n v="235145.5"/>
    <n v="1232"/>
    <n v="154854"/>
    <n v="473184"/>
    <n v="60.1"/>
    <n v="0.31"/>
    <n v="73.66"/>
    <n v="4587145"/>
    <x v="0"/>
  </r>
  <r>
    <s v="MS-Zaandam"/>
    <s v="Africa"/>
    <n v="5797805"/>
    <n v="2020"/>
    <n v="9"/>
    <n v="7"/>
    <n v="2"/>
    <n v="0"/>
    <n v="3823509"/>
    <n v="77.78"/>
    <n v="22.22"/>
    <n v="65.95"/>
    <n v="2226216"/>
    <x v="3"/>
  </r>
  <r>
    <s v="Macao"/>
    <s v="Asia"/>
    <n v="667490"/>
    <n v="2023"/>
    <n v="27673"/>
    <n v="3487"/>
    <n v="123"/>
    <n v="24063"/>
    <n v="459186"/>
    <n v="12.6"/>
    <n v="0.44"/>
    <n v="68.790000000000006"/>
    <n v="7850"/>
    <x v="2"/>
  </r>
  <r>
    <s v="Madagascar"/>
    <s v="Africa"/>
    <n v="29178077"/>
    <n v="2020"/>
    <n v="68486"/>
    <n v="66862"/>
    <n v="1426"/>
    <n v="198"/>
    <n v="16707211"/>
    <n v="97.63"/>
    <n v="2.08"/>
    <n v="57.26"/>
    <n v="531329"/>
    <x v="0"/>
  </r>
  <r>
    <s v="Malawi"/>
    <s v="Africa"/>
    <n v="20180839"/>
    <n v="2023"/>
    <n v="89535"/>
    <n v="235145.5"/>
    <n v="2686"/>
    <n v="0"/>
    <n v="14356646"/>
    <n v="262.63"/>
    <n v="3"/>
    <n v="71.14"/>
    <n v="624784"/>
    <x v="0"/>
  </r>
  <r>
    <s v="Malaysia"/>
    <s v="Asia"/>
    <n v="33181072"/>
    <n v="2021"/>
    <n v="5278406"/>
    <n v="5233268"/>
    <n v="37348"/>
    <n v="7790"/>
    <n v="23424576"/>
    <n v="99.14"/>
    <n v="0.71"/>
    <n v="70.599999999999994"/>
    <n v="68580916"/>
    <x v="0"/>
  </r>
  <r>
    <s v="Maldives"/>
    <s v="Asia"/>
    <n v="540985"/>
    <n v="2023"/>
    <n v="186694"/>
    <n v="163687"/>
    <n v="316"/>
    <n v="22691"/>
    <n v="318995"/>
    <n v="87.68"/>
    <n v="0.17"/>
    <n v="58.97"/>
    <n v="2213831"/>
    <x v="0"/>
  </r>
  <r>
    <s v="Mali"/>
    <s v="Africa"/>
    <n v="21473764"/>
    <n v="2023"/>
    <n v="33164"/>
    <n v="32332"/>
    <n v="743"/>
    <n v="89"/>
    <n v="19068775"/>
    <n v="97.49"/>
    <n v="2.2400000000000002"/>
    <n v="88.8"/>
    <n v="804909"/>
    <x v="2"/>
  </r>
  <r>
    <s v="Malta"/>
    <s v="Europe"/>
    <n v="444033"/>
    <n v="2020"/>
    <n v="121420"/>
    <n v="120149"/>
    <n v="885"/>
    <n v="386"/>
    <n v="217887"/>
    <n v="98.95"/>
    <n v="0.73"/>
    <n v="49.07"/>
    <n v="2170600"/>
    <x v="0"/>
  </r>
  <r>
    <s v="Marshall-Islands"/>
    <s v="Oceania"/>
    <n v="60057"/>
    <n v="2021"/>
    <n v="16138"/>
    <n v="16121"/>
    <n v="17"/>
    <n v="0"/>
    <n v="54096"/>
    <n v="99.89"/>
    <n v="0.11"/>
    <n v="90.07"/>
    <n v="2226216"/>
    <x v="2"/>
  </r>
  <r>
    <s v="Martinique"/>
    <s v="North-America"/>
    <n v="374087"/>
    <n v="2023"/>
    <n v="230354"/>
    <n v="235145.5"/>
    <n v="1102"/>
    <n v="0"/>
    <n v="230354"/>
    <n v="102.08"/>
    <n v="0.48"/>
    <n v="61.58"/>
    <n v="828928"/>
    <x v="0"/>
  </r>
  <r>
    <s v="Mauritania"/>
    <s v="Africa"/>
    <n v="4901981"/>
    <n v="2023"/>
    <n v="63848"/>
    <n v="62471"/>
    <n v="997"/>
    <n v="380"/>
    <n v="3323954"/>
    <n v="97.84"/>
    <n v="1.56"/>
    <n v="67.81"/>
    <n v="1009957"/>
    <x v="0"/>
  </r>
  <r>
    <s v="Mauritius"/>
    <s v="Africa"/>
    <n v="1274727"/>
    <n v="2021"/>
    <n v="43025"/>
    <n v="41278"/>
    <n v="1051"/>
    <n v="696"/>
    <n v="652037"/>
    <n v="95.94"/>
    <n v="2.44"/>
    <n v="51.15"/>
    <n v="358675"/>
    <x v="2"/>
  </r>
  <r>
    <s v="Mayotte"/>
    <s v="Africa"/>
    <n v="286259"/>
    <n v="2022"/>
    <n v="42027"/>
    <n v="235145.5"/>
    <n v="188"/>
    <n v="0"/>
    <n v="215395"/>
    <n v="559.51"/>
    <n v="0.45"/>
    <n v="75.239999999999995"/>
    <n v="176919"/>
    <x v="2"/>
  </r>
  <r>
    <s v="Mexico"/>
    <s v="North-America"/>
    <n v="131562772"/>
    <n v="2022"/>
    <n v="7702809"/>
    <n v="6899865"/>
    <n v="334958"/>
    <n v="467986"/>
    <n v="118764285"/>
    <n v="89.58"/>
    <n v="4.3499999999999996"/>
    <n v="90.27"/>
    <n v="20013810"/>
    <x v="0"/>
  </r>
  <r>
    <s v="Micronesia"/>
    <s v="Oceania"/>
    <n v="117489"/>
    <n v="2022"/>
    <n v="26547"/>
    <n v="235145.5"/>
    <n v="65"/>
    <n v="0"/>
    <n v="63903"/>
    <n v="885.77"/>
    <n v="0.24"/>
    <n v="54.39"/>
    <n v="82430"/>
    <x v="2"/>
  </r>
  <r>
    <s v="Moldova"/>
    <s v="Europe"/>
    <n v="4013171"/>
    <n v="2020"/>
    <n v="635145"/>
    <n v="235145.5"/>
    <n v="12218"/>
    <n v="387782"/>
    <n v="3469251"/>
    <n v="37.020000000000003"/>
    <n v="1.92"/>
    <n v="86.45"/>
    <n v="3216305"/>
    <x v="0"/>
  </r>
  <r>
    <s v="Monaco"/>
    <s v="Europe"/>
    <n v="39783"/>
    <n v="2020"/>
    <n v="17181"/>
    <n v="235145.5"/>
    <n v="67"/>
    <n v="0"/>
    <n v="22222"/>
    <n v="1368.64"/>
    <n v="0.39"/>
    <n v="55.86"/>
    <n v="78646"/>
    <x v="2"/>
  </r>
  <r>
    <s v="Mongolia"/>
    <s v="Asia"/>
    <n v="3378078"/>
    <n v="2021"/>
    <n v="1011496"/>
    <n v="1009212"/>
    <n v="2284"/>
    <n v="0"/>
    <n v="2535015"/>
    <n v="99.77"/>
    <n v="0.23"/>
    <n v="75.040000000000006"/>
    <n v="4030048"/>
    <x v="0"/>
  </r>
  <r>
    <s v="Montenegro"/>
    <s v="Europe"/>
    <n v="627950"/>
    <n v="2022"/>
    <n v="296542"/>
    <n v="291794"/>
    <n v="2846"/>
    <n v="1902"/>
    <n v="487599"/>
    <n v="98.4"/>
    <n v="0.96"/>
    <n v="77.650000000000006"/>
    <n v="2769281"/>
    <x v="0"/>
  </r>
  <r>
    <s v="Montserrat"/>
    <s v="North-America"/>
    <n v="4965"/>
    <n v="2022"/>
    <n v="1403"/>
    <n v="1376"/>
    <n v="8"/>
    <n v="19"/>
    <n v="4600"/>
    <n v="98.08"/>
    <n v="0.56999999999999995"/>
    <n v="92.65"/>
    <n v="17762"/>
    <x v="3"/>
  </r>
  <r>
    <s v="Morocco"/>
    <s v="Africa"/>
    <n v="37772756"/>
    <n v="2020"/>
    <n v="1278992"/>
    <n v="235145.5"/>
    <n v="16303"/>
    <n v="1027544"/>
    <n v="30362811"/>
    <n v="18.39"/>
    <n v="1.27"/>
    <n v="80.38"/>
    <n v="13001033"/>
    <x v="0"/>
  </r>
  <r>
    <s v="Mozambique"/>
    <s v="Africa"/>
    <n v="33089461"/>
    <n v="2022"/>
    <n v="233731"/>
    <n v="228805"/>
    <n v="2250"/>
    <n v="2676"/>
    <n v="16821681"/>
    <n v="97.89"/>
    <n v="0.96"/>
    <n v="50.84"/>
    <n v="1371127"/>
    <x v="0"/>
  </r>
  <r>
    <s v="Myanmar"/>
    <s v="Asia"/>
    <n v="55227143"/>
    <n v="2022"/>
    <n v="641873"/>
    <n v="620159"/>
    <n v="19495"/>
    <n v="2219"/>
    <n v="29712864"/>
    <n v="96.62"/>
    <n v="3.04"/>
    <n v="53.8"/>
    <n v="11711514"/>
    <x v="0"/>
  </r>
  <r>
    <s v="Namibia"/>
    <s v="Africa"/>
    <n v="2633874"/>
    <n v="2021"/>
    <n v="172389"/>
    <n v="167099"/>
    <n v="4106"/>
    <n v="1184"/>
    <n v="2385537"/>
    <n v="96.93"/>
    <n v="2.38"/>
    <n v="90.57"/>
    <n v="1062663"/>
    <x v="0"/>
  </r>
  <r>
    <s v="Nauru"/>
    <s v="Oceania"/>
    <n v="10903"/>
    <n v="2021"/>
    <n v="5393"/>
    <n v="5347"/>
    <n v="1"/>
    <n v="45"/>
    <n v="5702"/>
    <n v="99.15"/>
    <n v="0.02"/>
    <n v="52.3"/>
    <n v="20509"/>
    <x v="2"/>
  </r>
  <r>
    <s v="Nepal"/>
    <s v="Asia"/>
    <n v="30225582"/>
    <n v="2020"/>
    <n v="1003450"/>
    <n v="991322"/>
    <n v="12031"/>
    <n v="97"/>
    <n v="24311989"/>
    <n v="98.79"/>
    <n v="1.2"/>
    <n v="80.44"/>
    <n v="6047766"/>
    <x v="0"/>
  </r>
  <r>
    <s v="Netherlands"/>
    <s v="Europe"/>
    <n v="17211447"/>
    <n v="2023"/>
    <n v="8635786"/>
    <n v="8612599"/>
    <n v="22992"/>
    <n v="195"/>
    <n v="15109992"/>
    <n v="99.73"/>
    <n v="0.27"/>
    <n v="87.79"/>
    <n v="25984435"/>
    <x v="0"/>
  </r>
  <r>
    <s v="New-Caledonia"/>
    <s v="Oceania"/>
    <n v="290915"/>
    <n v="2023"/>
    <n v="80064"/>
    <n v="235145.5"/>
    <n v="314"/>
    <n v="0"/>
    <n v="173346"/>
    <n v="293.7"/>
    <n v="0.39"/>
    <n v="59.59"/>
    <n v="98964"/>
    <x v="0"/>
  </r>
  <r>
    <s v="New-Zealand"/>
    <s v="Oceania"/>
    <n v="4898203"/>
    <n v="2023"/>
    <n v="2621111"/>
    <n v="2613791"/>
    <n v="5697"/>
    <n v="1623"/>
    <n v="2621111"/>
    <n v="99.72"/>
    <n v="0.22"/>
    <n v="53.51"/>
    <n v="7768604"/>
    <x v="0"/>
  </r>
  <r>
    <s v="Nicaragua"/>
    <s v="North-America"/>
    <n v="6779100"/>
    <n v="2022"/>
    <n v="18491"/>
    <n v="4225"/>
    <n v="225"/>
    <n v="14041"/>
    <n v="3431012"/>
    <n v="22.85"/>
    <n v="1.22"/>
    <n v="50.61"/>
    <n v="2226216"/>
    <x v="2"/>
  </r>
  <r>
    <s v="Niger"/>
    <s v="Africa"/>
    <n v="26083660"/>
    <n v="2023"/>
    <n v="9931"/>
    <n v="8890"/>
    <n v="312"/>
    <n v="729"/>
    <n v="24021420"/>
    <n v="89.52"/>
    <n v="3.14"/>
    <n v="92.09"/>
    <n v="254538"/>
    <x v="2"/>
  </r>
  <r>
    <s v="Nigeria"/>
    <s v="Africa"/>
    <n v="216746934"/>
    <n v="2022"/>
    <n v="267188"/>
    <n v="259953"/>
    <n v="3155"/>
    <n v="4080"/>
    <n v="101755255"/>
    <n v="97.29"/>
    <n v="1.18"/>
    <n v="46.95"/>
    <n v="5708974"/>
    <x v="0"/>
  </r>
  <r>
    <s v="Niue"/>
    <s v="Oceania"/>
    <n v="1622"/>
    <n v="2021"/>
    <n v="1059"/>
    <n v="1056"/>
    <n v="2570"/>
    <n v="0"/>
    <n v="1501"/>
    <n v="99.72"/>
    <n v="242.68"/>
    <n v="92.54"/>
    <n v="2226216"/>
    <x v="3"/>
  </r>
  <r>
    <s v="North-America"/>
    <s v="North-America"/>
    <n v="5797805"/>
    <n v="2020"/>
    <n v="131889132"/>
    <n v="127665129"/>
    <n v="1695941"/>
    <n v="2528062"/>
    <n v="5797805"/>
    <n v="96.8"/>
    <n v="1.29"/>
    <n v="100"/>
    <n v="2226216"/>
    <x v="4"/>
  </r>
  <r>
    <s v="North-Macedonia"/>
    <s v="Europe"/>
    <n v="2081304"/>
    <n v="2021"/>
    <n v="350567"/>
    <n v="337068"/>
    <n v="9976"/>
    <n v="3523"/>
    <n v="1340294"/>
    <n v="96.15"/>
    <n v="2.85"/>
    <n v="64.400000000000006"/>
    <n v="2226216"/>
    <x v="0"/>
  </r>
  <r>
    <s v="Norway"/>
    <s v="Europe"/>
    <n v="5511370"/>
    <n v="2022"/>
    <n v="1509732"/>
    <n v="1503094"/>
    <n v="6638"/>
    <n v="0"/>
    <n v="2989216"/>
    <n v="99.56"/>
    <n v="0.44"/>
    <n v="54.24"/>
    <n v="11002430"/>
    <x v="0"/>
  </r>
  <r>
    <s v="Oceania"/>
    <s v="Oceania"/>
    <n v="5797805"/>
    <n v="2021"/>
    <n v="14895771"/>
    <n v="14752388"/>
    <n v="33015"/>
    <n v="110368"/>
    <n v="5797805"/>
    <n v="99.04"/>
    <n v="0.22"/>
    <n v="100"/>
    <n v="2226216"/>
    <x v="1"/>
  </r>
  <r>
    <s v="Oman"/>
    <s v="Asia"/>
    <n v="5323993"/>
    <n v="2021"/>
    <n v="399449"/>
    <n v="235145.5"/>
    <n v="4628"/>
    <n v="159676"/>
    <n v="3327810"/>
    <n v="58.87"/>
    <n v="1.1599999999999999"/>
    <n v="62.51"/>
    <n v="25000000"/>
    <x v="0"/>
  </r>
  <r>
    <s v="Pakistan"/>
    <s v="Asia"/>
    <n v="229488994"/>
    <n v="2020"/>
    <n v="1581936"/>
    <n v="1538689"/>
    <n v="30664"/>
    <n v="12583"/>
    <n v="119564173"/>
    <n v="97.27"/>
    <n v="1.94"/>
    <n v="52.1"/>
    <n v="30589153"/>
    <x v="0"/>
  </r>
  <r>
    <s v="Palau"/>
    <s v="Oceania"/>
    <n v="18233"/>
    <n v="2020"/>
    <n v="6290"/>
    <n v="6276"/>
    <n v="10"/>
    <n v="4"/>
    <n v="14047"/>
    <n v="99.78"/>
    <n v="0.16"/>
    <n v="77.040000000000006"/>
    <n v="71434"/>
    <x v="2"/>
  </r>
  <r>
    <s v="Palestine"/>
    <s v="Asia"/>
    <n v="5345541"/>
    <n v="2021"/>
    <n v="621008"/>
    <n v="615445"/>
    <n v="5404"/>
    <n v="159"/>
    <n v="4802415"/>
    <n v="99.1"/>
    <n v="0.87"/>
    <n v="89.84"/>
    <n v="3078533"/>
    <x v="0"/>
  </r>
  <r>
    <s v="Panama"/>
    <s v="North-America"/>
    <n v="4446964"/>
    <n v="2021"/>
    <n v="1059893"/>
    <n v="1051102"/>
    <n v="8727"/>
    <n v="64"/>
    <n v="3392660"/>
    <n v="99.17"/>
    <n v="0.82"/>
    <n v="76.290000000000006"/>
    <n v="7882622"/>
    <x v="0"/>
  </r>
  <r>
    <s v="Papua-New-Guinea"/>
    <s v="Oceania"/>
    <n v="9292169"/>
    <n v="2021"/>
    <n v="46864"/>
    <n v="46168"/>
    <n v="670"/>
    <n v="26"/>
    <n v="4918704"/>
    <n v="98.51"/>
    <n v="1.43"/>
    <n v="52.93"/>
    <n v="249149"/>
    <x v="2"/>
  </r>
  <r>
    <s v="Paraguay"/>
    <s v="South-America"/>
    <n v="7305843"/>
    <n v="2020"/>
    <n v="837602"/>
    <n v="235145.5"/>
    <n v="20155"/>
    <n v="582302"/>
    <n v="5812485"/>
    <n v="28.07"/>
    <n v="2.41"/>
    <n v="79.56"/>
    <n v="2657506"/>
    <x v="0"/>
  </r>
  <r>
    <s v="Peru"/>
    <s v="South-America"/>
    <n v="33684208"/>
    <n v="2022"/>
    <n v="4572667"/>
    <n v="4350506"/>
    <n v="222161"/>
    <n v="0"/>
    <n v="20515451"/>
    <n v="95.14"/>
    <n v="4.8600000000000003"/>
    <n v="60.91"/>
    <n v="39010194"/>
    <x v="0"/>
  </r>
  <r>
    <s v="Philippines"/>
    <s v="Asia"/>
    <n v="112508994"/>
    <n v="2021"/>
    <n v="4140383"/>
    <n v="4067381"/>
    <n v="66864"/>
    <n v="6138"/>
    <n v="86283795"/>
    <n v="98.24"/>
    <n v="1.61"/>
    <n v="76.69"/>
    <n v="36102746"/>
    <x v="0"/>
  </r>
  <r>
    <s v="Poland"/>
    <s v="Europe"/>
    <n v="37739785"/>
    <n v="2021"/>
    <n v="6661991"/>
    <n v="235145.5"/>
    <n v="120598"/>
    <n v="6306248"/>
    <n v="25196013"/>
    <n v="3.53"/>
    <n v="1.81"/>
    <n v="66.760000000000005"/>
    <n v="39323709"/>
    <x v="0"/>
  </r>
  <r>
    <s v="Portugal"/>
    <s v="Europe"/>
    <n v="10140570"/>
    <n v="2022"/>
    <n v="5643062"/>
    <n v="5614809"/>
    <n v="28126"/>
    <n v="127"/>
    <n v="5643062"/>
    <n v="99.5"/>
    <n v="0.5"/>
    <n v="55.65"/>
    <n v="46139518"/>
    <x v="0"/>
  </r>
  <r>
    <s v="Qatar"/>
    <s v="Asia"/>
    <n v="2979915"/>
    <n v="2020"/>
    <n v="514524"/>
    <n v="513687"/>
    <n v="690"/>
    <n v="147"/>
    <n v="2113834"/>
    <n v="99.84"/>
    <n v="0.13"/>
    <n v="70.94"/>
    <n v="4065369"/>
    <x v="0"/>
  </r>
  <r>
    <s v="R&amp;eacute;union"/>
    <s v="Africa"/>
    <n v="908061"/>
    <n v="2020"/>
    <n v="494595"/>
    <n v="235145.5"/>
    <n v="921"/>
    <n v="258528"/>
    <n v="494595"/>
    <n v="47.54"/>
    <n v="0.19"/>
    <n v="54.47"/>
    <n v="1603660"/>
    <x v="0"/>
  </r>
  <r>
    <s v="Romania"/>
    <s v="Europe"/>
    <n v="19031335"/>
    <n v="2023"/>
    <n v="3529735"/>
    <n v="3460149"/>
    <n v="68929"/>
    <n v="657"/>
    <n v="13058892"/>
    <n v="98.03"/>
    <n v="1.95"/>
    <n v="68.62"/>
    <n v="28758667"/>
    <x v="0"/>
  </r>
  <r>
    <s v="Russia"/>
    <s v="Europe"/>
    <n v="145805947"/>
    <n v="2020"/>
    <n v="24124215"/>
    <n v="23545818"/>
    <n v="402756"/>
    <n v="175641"/>
    <n v="113660197"/>
    <n v="97.6"/>
    <n v="1.67"/>
    <n v="77.95"/>
    <n v="273400000"/>
    <x v="1"/>
  </r>
  <r>
    <s v="Rwanda"/>
    <s v="Africa"/>
    <n v="13600464"/>
    <n v="2021"/>
    <n v="133518"/>
    <n v="132039"/>
    <n v="1468"/>
    <n v="11"/>
    <n v="8656556"/>
    <n v="98.89"/>
    <n v="1.1000000000000001"/>
    <n v="63.65"/>
    <n v="6021981"/>
    <x v="0"/>
  </r>
  <r>
    <s v="S-Korea"/>
    <s v="Asia"/>
    <n v="51329899"/>
    <n v="2022"/>
    <n v="34571873"/>
    <n v="34535939"/>
    <n v="35934"/>
    <n v="0"/>
    <n v="34571873"/>
    <n v="99.9"/>
    <n v="0.1"/>
    <n v="67.349999999999994"/>
    <n v="15804065"/>
    <x v="1"/>
  </r>
  <r>
    <s v="Saint-Helena"/>
    <s v="Africa"/>
    <n v="6115"/>
    <n v="2022"/>
    <n v="2166"/>
    <n v="2"/>
    <n v="2570"/>
    <n v="0"/>
    <n v="3816"/>
    <n v="0.09"/>
    <n v="118.65"/>
    <n v="62.4"/>
    <n v="2226216"/>
    <x v="3"/>
  </r>
  <r>
    <s v="Saint-Kitts-and-Nevis"/>
    <s v="North-America"/>
    <n v="53871"/>
    <n v="2021"/>
    <n v="6607"/>
    <n v="6559"/>
    <n v="48"/>
    <n v="0"/>
    <n v="43971"/>
    <n v="99.27"/>
    <n v="0.73"/>
    <n v="81.62"/>
    <n v="126958"/>
    <x v="2"/>
  </r>
  <r>
    <s v="Saint-Lucia"/>
    <s v="North-America"/>
    <n v="185113"/>
    <n v="2022"/>
    <n v="30215"/>
    <n v="29805"/>
    <n v="410"/>
    <n v="0"/>
    <n v="108646"/>
    <n v="98.64"/>
    <n v="1.36"/>
    <n v="58.69"/>
    <n v="210983"/>
    <x v="2"/>
  </r>
  <r>
    <s v="Saint-Martin"/>
    <s v="North-America"/>
    <n v="39730"/>
    <n v="2020"/>
    <n v="12324"/>
    <n v="235145.5"/>
    <n v="63"/>
    <n v="0"/>
    <n v="26464"/>
    <n v="1908.03"/>
    <n v="0.51"/>
    <n v="66.61"/>
    <n v="112382"/>
    <x v="2"/>
  </r>
  <r>
    <s v="Saint-Pierre-Miquelon"/>
    <s v="North-America"/>
    <n v="5759"/>
    <n v="2022"/>
    <n v="3452"/>
    <n v="2449"/>
    <n v="2"/>
    <n v="1001"/>
    <n v="4273"/>
    <n v="70.94"/>
    <n v="0.06"/>
    <n v="74.2"/>
    <n v="25400"/>
    <x v="3"/>
  </r>
  <r>
    <s v="Samoa"/>
    <s v="Oceania"/>
    <n v="202239"/>
    <n v="2020"/>
    <n v="17006"/>
    <n v="1605"/>
    <n v="31"/>
    <n v="15370"/>
    <n v="178707"/>
    <n v="9.44"/>
    <n v="0.18"/>
    <n v="88.36"/>
    <n v="187397"/>
    <x v="2"/>
  </r>
  <r>
    <s v="San-Marino"/>
    <s v="Europe"/>
    <n v="34085"/>
    <n v="2021"/>
    <n v="26185"/>
    <n v="26011"/>
    <n v="128"/>
    <n v="46"/>
    <n v="26185"/>
    <n v="99.34"/>
    <n v="0.49"/>
    <n v="76.819999999999993"/>
    <n v="196855"/>
    <x v="2"/>
  </r>
  <r>
    <s v="Sao-Tome-and-Principe"/>
    <s v="Africa"/>
    <n v="227679"/>
    <n v="2023"/>
    <n v="6778"/>
    <n v="6685"/>
    <n v="80"/>
    <n v="13"/>
    <n v="200313"/>
    <n v="98.63"/>
    <n v="1.18"/>
    <n v="87.98"/>
    <n v="29600"/>
    <x v="2"/>
  </r>
  <r>
    <s v="Saudi-Arabia"/>
    <s v="Asia"/>
    <n v="35844909"/>
    <n v="2021"/>
    <n v="841469"/>
    <n v="235145.5"/>
    <n v="9646"/>
    <n v="596678"/>
    <n v="19267758"/>
    <n v="27.94"/>
    <n v="1.1499999999999999"/>
    <n v="53.75"/>
    <n v="45481735"/>
    <x v="0"/>
  </r>
  <r>
    <s v="Senegal"/>
    <s v="Africa"/>
    <n v="17653671"/>
    <n v="2020"/>
    <n v="89053"/>
    <n v="87024"/>
    <n v="1971"/>
    <n v="58"/>
    <n v="8694967"/>
    <n v="97.72"/>
    <n v="2.21"/>
    <n v="49.25"/>
    <n v="1146543"/>
    <x v="0"/>
  </r>
  <r>
    <s v="Serbia"/>
    <s v="Europe"/>
    <n v="8653016"/>
    <n v="2022"/>
    <n v="2615054"/>
    <n v="2596608"/>
    <n v="18057"/>
    <n v="389"/>
    <n v="5033110"/>
    <n v="99.29"/>
    <n v="0.69"/>
    <n v="58.17"/>
    <n v="13463733"/>
    <x v="0"/>
  </r>
  <r>
    <s v="Seychelles"/>
    <s v="Africa"/>
    <n v="99426"/>
    <n v="2022"/>
    <n v="51220"/>
    <n v="51048"/>
    <n v="172"/>
    <n v="0"/>
    <n v="88138"/>
    <n v="99.66"/>
    <n v="0.34"/>
    <n v="88.65"/>
    <n v="2226216"/>
    <x v="0"/>
  </r>
  <r>
    <s v="Sierra-Leone"/>
    <s v="Africa"/>
    <n v="8306436"/>
    <n v="2023"/>
    <n v="7779"/>
    <n v="235145.5"/>
    <n v="126"/>
    <n v="0"/>
    <n v="4975474"/>
    <n v="3022.82"/>
    <n v="1.62"/>
    <n v="59.9"/>
    <n v="259958"/>
    <x v="2"/>
  </r>
  <r>
    <s v="Singapore"/>
    <s v="Asia"/>
    <n v="5943546"/>
    <n v="2020"/>
    <n v="3006155"/>
    <n v="3004131"/>
    <n v="2024"/>
    <n v="0"/>
    <n v="3006155"/>
    <n v="99.93"/>
    <n v="7.0000000000000007E-2"/>
    <n v="50.58"/>
    <n v="24756666"/>
    <x v="0"/>
  </r>
  <r>
    <s v="Sint-Maarten"/>
    <s v="North-America"/>
    <n v="43966"/>
    <n v="2020"/>
    <n v="11051"/>
    <n v="10905"/>
    <n v="92"/>
    <n v="54"/>
    <n v="36270"/>
    <n v="98.68"/>
    <n v="0.83"/>
    <n v="82.5"/>
    <n v="62056"/>
    <x v="2"/>
  </r>
  <r>
    <s v="Slovakia"/>
    <s v="Europe"/>
    <n v="5460193"/>
    <n v="2020"/>
    <n v="1877605"/>
    <n v="1856381"/>
    <n v="21224"/>
    <n v="0"/>
    <n v="3610887"/>
    <n v="98.87"/>
    <n v="1.1299999999999999"/>
    <n v="66.13"/>
    <n v="7448789"/>
    <x v="0"/>
  </r>
  <r>
    <s v="Slovenia"/>
    <s v="Europe"/>
    <n v="2078034"/>
    <n v="2023"/>
    <n v="1356546"/>
    <n v="1349424"/>
    <n v="7100"/>
    <n v="22"/>
    <n v="1356546"/>
    <n v="99.47"/>
    <n v="0.52"/>
    <n v="65.28"/>
    <n v="2847701"/>
    <x v="0"/>
  </r>
  <r>
    <s v="Solomon-Islands"/>
    <s v="Oceania"/>
    <n v="721159"/>
    <n v="2023"/>
    <n v="25954"/>
    <n v="235145.5"/>
    <n v="199"/>
    <n v="0"/>
    <n v="674426"/>
    <n v="906.01"/>
    <n v="0.77"/>
    <n v="93.52"/>
    <n v="2226216"/>
    <x v="2"/>
  </r>
  <r>
    <s v="Somalia"/>
    <s v="Africa"/>
    <n v="16841795"/>
    <n v="2022"/>
    <n v="27334"/>
    <n v="13182"/>
    <n v="1361"/>
    <n v="12791"/>
    <n v="11196105"/>
    <n v="48.23"/>
    <n v="4.9800000000000004"/>
    <n v="66.48"/>
    <n v="400466"/>
    <x v="2"/>
  </r>
  <r>
    <s v="South-Africa"/>
    <s v="Africa"/>
    <n v="60756135"/>
    <n v="2023"/>
    <n v="4076463"/>
    <n v="3912506"/>
    <n v="102595"/>
    <n v="61362"/>
    <n v="37034036"/>
    <n v="95.98"/>
    <n v="2.52"/>
    <n v="60.96"/>
    <n v="26795090"/>
    <x v="0"/>
  </r>
  <r>
    <s v="South-America"/>
    <s v="South-America"/>
    <n v="5797805"/>
    <n v="2020"/>
    <n v="70200879"/>
    <n v="66683585"/>
    <n v="1367332"/>
    <n v="2149962"/>
    <n v="5797805"/>
    <n v="94.99"/>
    <n v="1.95"/>
    <n v="100"/>
    <n v="2226216"/>
    <x v="1"/>
  </r>
  <r>
    <s v="South-Sudan"/>
    <s v="Africa"/>
    <n v="11618511"/>
    <n v="2020"/>
    <n v="18819"/>
    <n v="18115"/>
    <n v="147"/>
    <n v="557"/>
    <n v="10108506"/>
    <n v="96.26"/>
    <n v="0.78"/>
    <n v="87"/>
    <n v="410280"/>
    <x v="2"/>
  </r>
  <r>
    <s v="Spain"/>
    <s v="Europe"/>
    <n v="46719142"/>
    <n v="2023"/>
    <n v="13914811"/>
    <n v="13762417"/>
    <n v="121760"/>
    <n v="30634"/>
    <n v="39156061"/>
    <n v="98.9"/>
    <n v="0.88"/>
    <n v="83.81"/>
    <n v="471036328"/>
    <x v="1"/>
  </r>
  <r>
    <s v="Sri-Lanka"/>
    <s v="Asia"/>
    <n v="21575842"/>
    <n v="2020"/>
    <n v="672754"/>
    <n v="655852"/>
    <n v="16897"/>
    <n v="5"/>
    <n v="10652333"/>
    <n v="97.49"/>
    <n v="2.5099999999999998"/>
    <n v="49.37"/>
    <n v="6486117"/>
    <x v="0"/>
  </r>
  <r>
    <s v="St-Barth"/>
    <s v="North-America"/>
    <n v="9945"/>
    <n v="2021"/>
    <n v="5507"/>
    <n v="235145.5"/>
    <n v="6"/>
    <n v="0"/>
    <n v="8509"/>
    <n v="4269.9399999999996"/>
    <n v="0.11"/>
    <n v="85.56"/>
    <n v="78646"/>
    <x v="2"/>
  </r>
  <r>
    <s v="St-Vincent-Grenadines"/>
    <s v="North-America"/>
    <n v="111551"/>
    <n v="2020"/>
    <n v="9674"/>
    <n v="9493"/>
    <n v="124"/>
    <n v="57"/>
    <n v="55906"/>
    <n v="98.13"/>
    <n v="1.28"/>
    <n v="50.12"/>
    <n v="114197"/>
    <x v="2"/>
  </r>
  <r>
    <s v="Sudan"/>
    <s v="Africa"/>
    <n v="45992020"/>
    <n v="2021"/>
    <n v="63993"/>
    <n v="58947"/>
    <n v="5046"/>
    <n v="0"/>
    <n v="34580347"/>
    <n v="92.11"/>
    <n v="7.89"/>
    <n v="75.19"/>
    <n v="562941"/>
    <x v="0"/>
  </r>
  <r>
    <s v="Suriname"/>
    <s v="South-America"/>
    <n v="596831"/>
    <n v="2022"/>
    <n v="82588"/>
    <n v="235145.5"/>
    <n v="1408"/>
    <n v="0"/>
    <n v="534107"/>
    <n v="284.72000000000003"/>
    <n v="1.7"/>
    <n v="89.49"/>
    <n v="242207"/>
    <x v="0"/>
  </r>
  <r>
    <s v="Sweden"/>
    <s v="Europe"/>
    <n v="10218971"/>
    <n v="2021"/>
    <n v="2754129"/>
    <n v="2726492"/>
    <n v="27407"/>
    <n v="230"/>
    <n v="4918801"/>
    <n v="99"/>
    <n v="1"/>
    <n v="48.13"/>
    <n v="19500873"/>
    <x v="0"/>
  </r>
  <r>
    <s v="Switzerland"/>
    <s v="Europe"/>
    <n v="8773637"/>
    <n v="2021"/>
    <n v="4453053"/>
    <n v="4438309"/>
    <n v="14452"/>
    <n v="292"/>
    <n v="6339394"/>
    <n v="99.67"/>
    <n v="0.32"/>
    <n v="72.260000000000005"/>
    <n v="23833472"/>
    <x v="0"/>
  </r>
  <r>
    <s v="Syria"/>
    <s v="Asia"/>
    <n v="19364809"/>
    <n v="2021"/>
    <n v="57743"/>
    <n v="54578"/>
    <n v="3165"/>
    <n v="0"/>
    <n v="11415676"/>
    <n v="94.52"/>
    <n v="5.48"/>
    <n v="58.95"/>
    <n v="146269"/>
    <x v="0"/>
  </r>
  <r>
    <s v="Taiwan"/>
    <s v="Asia"/>
    <n v="23888595"/>
    <n v="2020"/>
    <n v="10241523"/>
    <n v="10222518"/>
    <n v="19005"/>
    <n v="0"/>
    <n v="13674432"/>
    <n v="99.81"/>
    <n v="0.19"/>
    <n v="57.24"/>
    <n v="30742304"/>
    <x v="1"/>
  </r>
  <r>
    <s v="Tajikistan"/>
    <s v="Asia"/>
    <n v="9957464"/>
    <n v="2020"/>
    <n v="17786"/>
    <n v="17264"/>
    <n v="125"/>
    <n v="397"/>
    <n v="7516543"/>
    <n v="97.07"/>
    <n v="0.7"/>
    <n v="75.489999999999995"/>
    <n v="2226216"/>
    <x v="2"/>
  </r>
  <r>
    <s v="Tanzania"/>
    <s v="Africa"/>
    <n v="63298550"/>
    <n v="2022"/>
    <n v="43223"/>
    <n v="235145.5"/>
    <n v="846"/>
    <n v="0"/>
    <n v="29995551"/>
    <n v="544.03"/>
    <n v="1.96"/>
    <n v="47.39"/>
    <n v="2226216"/>
    <x v="2"/>
  </r>
  <r>
    <s v="Thailand"/>
    <s v="Asia"/>
    <n v="70078203"/>
    <n v="2022"/>
    <n v="4770149"/>
    <n v="4692636"/>
    <n v="34586"/>
    <n v="42927"/>
    <n v="59556859"/>
    <n v="98.38"/>
    <n v="0.73"/>
    <n v="84.99"/>
    <n v="17273454"/>
    <x v="0"/>
  </r>
  <r>
    <s v="Timor-Leste"/>
    <s v="Asia"/>
    <n v="1369429"/>
    <n v="2023"/>
    <n v="23460"/>
    <n v="23102"/>
    <n v="138"/>
    <n v="220"/>
    <n v="880357"/>
    <n v="98.47"/>
    <n v="0.59"/>
    <n v="64.290000000000006"/>
    <n v="278529"/>
    <x v="2"/>
  </r>
  <r>
    <s v="Togo"/>
    <s v="Africa"/>
    <n v="8680837"/>
    <n v="2022"/>
    <n v="39572"/>
    <n v="39281"/>
    <n v="290"/>
    <n v="1"/>
    <n v="6260518"/>
    <n v="99.26"/>
    <n v="0.73"/>
    <n v="72.12"/>
    <n v="815204"/>
    <x v="2"/>
  </r>
  <r>
    <s v="Tokelau"/>
    <s v="Oceania"/>
    <n v="1378"/>
    <n v="2021"/>
    <n v="80"/>
    <n v="235145.5"/>
    <n v="2570"/>
    <n v="0"/>
    <n v="1271"/>
    <n v="293931.88"/>
    <n v="3212.5"/>
    <n v="92.24"/>
    <n v="2226216"/>
    <x v="3"/>
  </r>
  <r>
    <s v="Tonga"/>
    <s v="Oceania"/>
    <n v="107749"/>
    <n v="2022"/>
    <n v="16950"/>
    <n v="15638"/>
    <n v="13"/>
    <n v="1299"/>
    <n v="96228"/>
    <n v="92.26"/>
    <n v="0.08"/>
    <n v="89.31"/>
    <n v="535009"/>
    <x v="2"/>
  </r>
  <r>
    <s v="Trinidad-and-Tobago"/>
    <s v="North-America"/>
    <n v="1406585"/>
    <n v="2020"/>
    <n v="191496"/>
    <n v="187078"/>
    <n v="4390"/>
    <n v="28"/>
    <n v="674380"/>
    <n v="97.69"/>
    <n v="2.29"/>
    <n v="47.94"/>
    <n v="913289"/>
    <x v="0"/>
  </r>
  <r>
    <s v="Tunisia"/>
    <s v="Africa"/>
    <n v="12046656"/>
    <n v="2023"/>
    <n v="1153361"/>
    <n v="235145.5"/>
    <n v="29423"/>
    <n v="888792"/>
    <n v="6765230"/>
    <n v="20.39"/>
    <n v="2.5499999999999998"/>
    <n v="56.16"/>
    <n v="5013383"/>
    <x v="0"/>
  </r>
  <r>
    <s v="Turkey"/>
    <s v="Asia"/>
    <n v="85561976"/>
    <n v="2022"/>
    <n v="17232066"/>
    <n v="235145.5"/>
    <n v="102174"/>
    <n v="16894746"/>
    <n v="61846852"/>
    <n v="1.36"/>
    <n v="0.59"/>
    <n v="72.28"/>
    <n v="162743369"/>
    <x v="1"/>
  </r>
  <r>
    <s v="Turks-and-Caicos"/>
    <s v="North-America"/>
    <n v="39741"/>
    <n v="2023"/>
    <n v="6752"/>
    <n v="6709"/>
    <n v="40"/>
    <n v="3"/>
    <n v="23571"/>
    <n v="99.36"/>
    <n v="0.59"/>
    <n v="59.31"/>
    <n v="616788"/>
    <x v="2"/>
  </r>
  <r>
    <s v="Tuvalu"/>
    <s v="Oceania"/>
    <n v="12066"/>
    <n v="2021"/>
    <n v="2943"/>
    <n v="235145.5"/>
    <n v="1"/>
    <n v="0"/>
    <n v="6774"/>
    <n v="7989.99"/>
    <n v="0.03"/>
    <n v="56.14"/>
    <n v="2226216"/>
    <x v="3"/>
  </r>
  <r>
    <s v="UAE"/>
    <s v="Asia"/>
    <n v="10081785"/>
    <n v="2020"/>
    <n v="1067030"/>
    <n v="235145.5"/>
    <n v="2349"/>
    <n v="829536"/>
    <n v="6471145"/>
    <n v="22.04"/>
    <n v="0.22"/>
    <n v="64.19"/>
    <n v="200732262"/>
    <x v="0"/>
  </r>
  <r>
    <s v="UK"/>
    <s v="Europe"/>
    <n v="68497907"/>
    <n v="2023"/>
    <n v="24910387"/>
    <n v="24678275"/>
    <n v="232112"/>
    <n v="0"/>
    <n v="34938064"/>
    <n v="99.07"/>
    <n v="0.93"/>
    <n v="51.01"/>
    <n v="522526476"/>
    <x v="1"/>
  </r>
  <r>
    <s v="USA"/>
    <s v="North-America"/>
    <n v="334805269"/>
    <n v="2020"/>
    <n v="111820082"/>
    <n v="109814428"/>
    <n v="1219487"/>
    <n v="786167"/>
    <n v="317607199"/>
    <n v="98.21"/>
    <n v="1.0900000000000001"/>
    <n v="94.86"/>
    <n v="1186851502"/>
    <x v="4"/>
  </r>
  <r>
    <s v="Uganda"/>
    <s v="Africa"/>
    <n v="48432863"/>
    <n v="2020"/>
    <n v="172149"/>
    <n v="100431"/>
    <n v="3632"/>
    <n v="68086"/>
    <n v="42470154"/>
    <n v="58.34"/>
    <n v="2.11"/>
    <n v="87.69"/>
    <n v="3012408"/>
    <x v="0"/>
  </r>
  <r>
    <s v="Ukraine"/>
    <s v="Europe"/>
    <n v="43192122"/>
    <n v="2022"/>
    <n v="5557995"/>
    <n v="5445577"/>
    <n v="112418"/>
    <n v="0"/>
    <n v="37636387"/>
    <n v="97.98"/>
    <n v="2.02"/>
    <n v="87.14"/>
    <n v="32603805"/>
    <x v="0"/>
  </r>
  <r>
    <s v="Uruguay"/>
    <s v="South-America"/>
    <n v="3496016"/>
    <n v="2022"/>
    <n v="1041111"/>
    <n v="1030944"/>
    <n v="7664"/>
    <n v="2503"/>
    <n v="2780356"/>
    <n v="99.02"/>
    <n v="0.74"/>
    <n v="79.53"/>
    <n v="6114822"/>
    <x v="0"/>
  </r>
  <r>
    <s v="Uzbekistan"/>
    <s v="Asia"/>
    <n v="34382084"/>
    <n v="2022"/>
    <n v="253662"/>
    <n v="241486"/>
    <n v="1637"/>
    <n v="10539"/>
    <n v="26507689"/>
    <n v="95.2"/>
    <n v="0.65"/>
    <n v="77.099999999999994"/>
    <n v="1377915"/>
    <x v="0"/>
  </r>
  <r>
    <s v="Vanuatu"/>
    <s v="Oceania"/>
    <n v="321832"/>
    <n v="2023"/>
    <n v="12019"/>
    <n v="11976"/>
    <n v="14"/>
    <n v="29"/>
    <n v="264281"/>
    <n v="99.64"/>
    <n v="0.12"/>
    <n v="82.12"/>
    <n v="24976"/>
    <x v="2"/>
  </r>
  <r>
    <s v="Vatican-City"/>
    <s v="Europe"/>
    <n v="799"/>
    <n v="2020"/>
    <n v="29"/>
    <n v="29"/>
    <n v="2570"/>
    <n v="0"/>
    <n v="561"/>
    <n v="100"/>
    <n v="8862.07"/>
    <n v="70.209999999999994"/>
    <n v="2226216"/>
    <x v="3"/>
  </r>
  <r>
    <s v="Venezuela"/>
    <s v="South-America"/>
    <n v="29266991"/>
    <n v="2020"/>
    <n v="552695"/>
    <n v="546537"/>
    <n v="5856"/>
    <n v="302"/>
    <n v="26640736"/>
    <n v="98.89"/>
    <n v="1.06"/>
    <n v="91.03"/>
    <n v="3359014"/>
    <x v="0"/>
  </r>
  <r>
    <s v="Vietnam"/>
    <s v="Asia"/>
    <n v="98953541"/>
    <n v="2023"/>
    <n v="11625195"/>
    <n v="10640971"/>
    <n v="43206"/>
    <n v="941018"/>
    <n v="82033915"/>
    <n v="91.53"/>
    <n v="0.37"/>
    <n v="82.9"/>
    <n v="85826548"/>
    <x v="1"/>
  </r>
  <r>
    <s v="Wallis-and-Futuna"/>
    <s v="Oceania"/>
    <n v="10982"/>
    <n v="2022"/>
    <n v="3550"/>
    <n v="438"/>
    <n v="8"/>
    <n v="3104"/>
    <n v="8729"/>
    <n v="12.34"/>
    <n v="0.23"/>
    <n v="79.48"/>
    <n v="20508"/>
    <x v="3"/>
  </r>
  <r>
    <s v="Western-Sahara"/>
    <s v="Africa"/>
    <n v="626161"/>
    <n v="2022"/>
    <n v="10"/>
    <n v="9"/>
    <n v="1"/>
    <n v="0"/>
    <n v="424296"/>
    <n v="90"/>
    <n v="10"/>
    <n v="67.760000000000005"/>
    <n v="2226216"/>
    <x v="3"/>
  </r>
  <r>
    <s v="Yemen"/>
    <s v="Asia"/>
    <n v="31154867"/>
    <n v="2023"/>
    <n v="11945"/>
    <n v="9124"/>
    <n v="2159"/>
    <n v="662"/>
    <n v="19037721"/>
    <n v="76.38"/>
    <n v="18.07"/>
    <n v="61.11"/>
    <n v="329592"/>
    <x v="2"/>
  </r>
  <r>
    <s v="Zambia"/>
    <s v="Africa"/>
    <n v="19470234"/>
    <n v="2023"/>
    <n v="349304"/>
    <n v="341316"/>
    <n v="4069"/>
    <n v="3919"/>
    <n v="14827885"/>
    <n v="97.71"/>
    <n v="1.1599999999999999"/>
    <n v="76.16"/>
    <n v="4112961"/>
    <x v="0"/>
  </r>
  <r>
    <s v="Zimbabwe"/>
    <s v="Africa"/>
    <n v="15331428"/>
    <n v="2022"/>
    <n v="266359"/>
    <n v="258888"/>
    <n v="5740"/>
    <n v="1731"/>
    <n v="10105765"/>
    <n v="97.2"/>
    <n v="2.15"/>
    <n v="65.92"/>
    <n v="2525756"/>
    <x v="0"/>
  </r>
  <r>
    <m/>
    <m/>
    <m/>
    <m/>
    <m/>
    <m/>
    <m/>
    <m/>
    <m/>
    <m/>
    <m/>
    <m/>
    <m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D20:F27" firstHeaderRow="0" firstDataRow="1" firstDataCol="1"/>
  <pivotFields count="14">
    <pivotField showAll="0"/>
    <pivotField axis="axisRow" showAll="0">
      <items count="7">
        <item x="1"/>
        <item x="0"/>
        <item x="2"/>
        <item x="3"/>
        <item x="5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ctive" fld="7" baseField="0" baseItem="0"/>
    <dataField name="Sum of Death %" fld="10" baseField="0" baseItem="0"/>
  </dataFields>
  <chartFormats count="4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2:B9" firstHeaderRow="1" firstDataRow="1" firstDataCol="1"/>
  <pivotFields count="13">
    <pivotField showAll="0"/>
    <pivotField axis="axisRow" showAll="0">
      <items count="8">
        <item x="1"/>
        <item h="1" x="3"/>
        <item x="0"/>
        <item x="2"/>
        <item x="4"/>
        <item x="6"/>
        <item x="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Cases" fld="4" baseField="0" baseItem="0"/>
  </dataFields>
  <chartFormats count="2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D11:E18" firstHeaderRow="1" firstDataRow="1" firstDataCol="1"/>
  <pivotFields count="14">
    <pivotField showAll="0"/>
    <pivotField axis="axisRow" showAll="0">
      <items count="7">
        <item x="1"/>
        <item x="0"/>
        <item x="2"/>
        <item x="3"/>
        <item x="5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opulation" fld="2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19:B26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7">
        <item x="4"/>
        <item x="1"/>
        <item x="0"/>
        <item x="2"/>
        <item x="3"/>
        <item x="5"/>
        <item t="default"/>
      </items>
    </pivotField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Vaccination %" fld="11" subtotal="average" baseField="13" baseItem="0"/>
  </dataFields>
  <chartFormats count="14">
    <chartFormat chart="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6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0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3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32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6" format="33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6" format="34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6" format="35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9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D2:E7" firstHeaderRow="1" firstDataRow="1" firstDataCol="1"/>
  <pivotFields count="14"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>
      <items count="238">
        <item x="123"/>
        <item x="233"/>
        <item x="229"/>
        <item x="214"/>
        <item x="58"/>
        <item x="155"/>
        <item x="142"/>
        <item x="72"/>
        <item x="177"/>
        <item x="220"/>
        <item x="181"/>
        <item x="232"/>
        <item x="6"/>
        <item x="111"/>
        <item x="147"/>
        <item x="201"/>
        <item x="162"/>
        <item x="178"/>
        <item x="219"/>
        <item x="184"/>
        <item x="48"/>
        <item x="29"/>
        <item x="41"/>
        <item x="189"/>
        <item x="118"/>
        <item x="7"/>
        <item x="46"/>
        <item x="90"/>
        <item x="202"/>
        <item x="153"/>
        <item x="66"/>
        <item x="191"/>
        <item x="39"/>
        <item x="234"/>
        <item x="85"/>
        <item x="228"/>
        <item x="180"/>
        <item x="79"/>
        <item x="34"/>
        <item x="59"/>
        <item x="60"/>
        <item x="131"/>
        <item x="215"/>
        <item x="182"/>
        <item x="139"/>
        <item x="65"/>
        <item x="209"/>
        <item x="152"/>
        <item x="198"/>
        <item x="23"/>
        <item x="86"/>
        <item x="83"/>
        <item x="120"/>
        <item x="32"/>
        <item x="212"/>
        <item x="47"/>
        <item x="194"/>
        <item x="183"/>
        <item x="137"/>
        <item x="195"/>
        <item x="124"/>
        <item x="22"/>
        <item x="179"/>
        <item x="40"/>
        <item x="129"/>
        <item x="71"/>
        <item x="92"/>
        <item x="117"/>
        <item x="102"/>
        <item x="15"/>
        <item x="89"/>
        <item x="213"/>
        <item x="135"/>
        <item x="134"/>
        <item x="210"/>
        <item x="10"/>
        <item x="52"/>
        <item x="165"/>
        <item x="4"/>
        <item x="78"/>
        <item x="188"/>
        <item x="33"/>
        <item x="207"/>
        <item x="24"/>
        <item x="133"/>
        <item x="203"/>
        <item x="35"/>
        <item x="125"/>
        <item x="73"/>
        <item x="21"/>
        <item x="91"/>
        <item x="68"/>
        <item x="77"/>
        <item x="150"/>
        <item x="204"/>
        <item x="105"/>
        <item x="186"/>
        <item x="126"/>
        <item x="76"/>
        <item x="56"/>
        <item x="42"/>
        <item x="5"/>
        <item x="18"/>
        <item x="130"/>
        <item x="37"/>
        <item x="175"/>
        <item x="36"/>
        <item x="106"/>
        <item x="82"/>
        <item x="224"/>
        <item x="146"/>
        <item x="128"/>
        <item x="216"/>
        <item x="64"/>
        <item x="87"/>
        <item x="113"/>
        <item x="96"/>
        <item x="114"/>
        <item x="132"/>
        <item x="144"/>
        <item x="0"/>
        <item x="227"/>
        <item x="236"/>
        <item x="154"/>
        <item x="3"/>
        <item x="141"/>
        <item x="27"/>
        <item x="2"/>
        <item x="30"/>
        <item x="110"/>
        <item x="235"/>
        <item x="157"/>
        <item x="122"/>
        <item x="160"/>
        <item x="26"/>
        <item x="9"/>
        <item x="93"/>
        <item x="172"/>
        <item x="69"/>
        <item x="44"/>
        <item x="119"/>
        <item x="171"/>
        <item x="63"/>
        <item x="230"/>
        <item x="163"/>
        <item x="67"/>
        <item x="138"/>
        <item x="145"/>
        <item x="112"/>
        <item x="200"/>
        <item x="61"/>
        <item x="53"/>
        <item x="16"/>
        <item x="14"/>
        <item x="166"/>
        <item x="185"/>
        <item x="115"/>
        <item x="19"/>
        <item x="148"/>
        <item x="140"/>
        <item x="226"/>
        <item x="164"/>
        <item x="221"/>
        <item x="62"/>
        <item x="51"/>
        <item x="217"/>
        <item x="25"/>
        <item x="49"/>
        <item x="116"/>
        <item x="143"/>
        <item x="88"/>
        <item x="50"/>
        <item x="31"/>
        <item x="193"/>
        <item x="121"/>
        <item x="109"/>
        <item x="158"/>
        <item x="74"/>
        <item x="161"/>
        <item x="101"/>
        <item x="108"/>
        <item x="80"/>
        <item x="192"/>
        <item x="17"/>
        <item x="95"/>
        <item x="100"/>
        <item x="187"/>
        <item x="151"/>
        <item x="205"/>
        <item x="94"/>
        <item x="190"/>
        <item x="57"/>
        <item x="173"/>
        <item x="196"/>
        <item x="168"/>
        <item x="206"/>
        <item x="167"/>
        <item x="54"/>
        <item x="211"/>
        <item x="55"/>
        <item x="103"/>
        <item x="20"/>
        <item x="38"/>
        <item x="127"/>
        <item x="43"/>
        <item x="225"/>
        <item x="170"/>
        <item x="13"/>
        <item x="84"/>
        <item x="45"/>
        <item x="169"/>
        <item x="98"/>
        <item x="99"/>
        <item x="136"/>
        <item x="149"/>
        <item x="8"/>
        <item x="208"/>
        <item x="231"/>
        <item x="12"/>
        <item x="1"/>
        <item x="199"/>
        <item x="159"/>
        <item x="218"/>
        <item x="174"/>
        <item x="222"/>
        <item x="104"/>
        <item x="107"/>
        <item x="176"/>
        <item x="28"/>
        <item x="81"/>
        <item x="75"/>
        <item x="97"/>
        <item x="197"/>
        <item x="223"/>
        <item x="156"/>
        <item x="11"/>
        <item x="7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covered" fld="5" baseField="0" baseItem="0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11:H249" firstHeaderRow="1" firstDataRow="1" firstDataCol="1"/>
  <pivotFields count="14">
    <pivotField axis="axisRow" showAll="0">
      <items count="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4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7"/>
        <item x="58"/>
        <item x="59"/>
        <item x="60"/>
        <item x="61"/>
        <item x="55"/>
        <item x="56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23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76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4"/>
        <item x="222"/>
        <item x="225"/>
        <item x="226"/>
        <item x="223"/>
        <item x="227"/>
        <item x="228"/>
        <item x="229"/>
        <item x="230"/>
        <item x="231"/>
        <item x="232"/>
        <item x="233"/>
        <item x="234"/>
        <item x="235"/>
        <item x="2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2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 t="grand">
      <x/>
    </i>
  </rowItems>
  <colItems count="1">
    <i/>
  </colItems>
  <dataFields count="1">
    <dataField name="Sum of Death %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G2:H9" firstHeaderRow="1" firstDataRow="1" firstDataCol="1"/>
  <pivotFields count="14">
    <pivotField dataField="1" showAll="0"/>
    <pivotField axis="axisRow" showAll="0">
      <items count="7">
        <item x="1"/>
        <item x="0"/>
        <item x="2"/>
        <item x="3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ountry" fld="0" subtotal="count" baseField="0" baseItem="0"/>
  </dataFields>
  <chartFormats count="14"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9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9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9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12:B17" firstHeaderRow="1" firstDataRow="1" firstDataCol="1"/>
  <pivotFields count="14"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Deaths" fld="6" baseField="0" baseItem="0"/>
  </dataField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8"/>
  <sheetViews>
    <sheetView topLeftCell="A196" workbookViewId="0"/>
  </sheetViews>
  <sheetFormatPr defaultRowHeight="14.5" x14ac:dyDescent="0.35"/>
  <cols>
    <col min="1" max="1" width="21.36328125" bestFit="1" customWidth="1"/>
    <col min="2" max="2" width="13.1796875" bestFit="1" customWidth="1"/>
    <col min="5" max="6" width="9.81640625" bestFit="1" customWidth="1"/>
    <col min="10" max="10" width="10.26953125" bestFit="1" customWidth="1"/>
    <col min="11" max="11" width="7.81640625" bestFit="1" customWidth="1"/>
    <col min="12" max="12" width="12.453125" bestFit="1" customWidth="1"/>
    <col min="14" max="14" width="12.36328125" bestFit="1" customWidth="1"/>
    <col min="16" max="16" width="19.1796875" bestFit="1" customWidth="1"/>
    <col min="18" max="18" width="10.816406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253</v>
      </c>
    </row>
    <row r="2" spans="1:18" x14ac:dyDescent="0.35">
      <c r="A2" t="s">
        <v>13</v>
      </c>
      <c r="B2" t="s">
        <v>24</v>
      </c>
      <c r="C2">
        <v>40754388</v>
      </c>
      <c r="D2">
        <v>2021</v>
      </c>
      <c r="E2">
        <v>234174</v>
      </c>
      <c r="F2">
        <v>211080</v>
      </c>
      <c r="G2">
        <v>7996</v>
      </c>
      <c r="H2">
        <v>15098</v>
      </c>
      <c r="I2">
        <v>25520706</v>
      </c>
      <c r="J2">
        <v>90.14</v>
      </c>
      <c r="K2">
        <v>3.41</v>
      </c>
      <c r="L2">
        <v>62.62</v>
      </c>
      <c r="M2">
        <v>1390730</v>
      </c>
      <c r="N2" t="str">
        <f>IF(E2&gt;=100000000,"1st",IF(E2&gt;=10000000,"2nd",IF(E2&gt;=50000,"3rd",IF(E2&gt;=5000,"4th",IF(E2&lt;=5000,"5th")))))</f>
        <v>3rd</v>
      </c>
    </row>
    <row r="3" spans="1:18" x14ac:dyDescent="0.35">
      <c r="A3" t="s">
        <v>14</v>
      </c>
      <c r="B3" t="s">
        <v>14</v>
      </c>
      <c r="C3">
        <v>5797805</v>
      </c>
      <c r="D3">
        <v>2023</v>
      </c>
      <c r="E3">
        <v>12860924</v>
      </c>
      <c r="F3">
        <v>12090808</v>
      </c>
      <c r="G3">
        <v>258892</v>
      </c>
      <c r="H3">
        <v>511224</v>
      </c>
      <c r="I3">
        <v>5797805</v>
      </c>
      <c r="J3">
        <v>94.01</v>
      </c>
      <c r="K3">
        <v>2.0099999999999998</v>
      </c>
      <c r="L3">
        <v>100</v>
      </c>
      <c r="M3">
        <v>2226216</v>
      </c>
      <c r="N3" t="str">
        <f t="shared" ref="N3:N66" si="0">IF(E3&gt;=100000000,"1st",IF(E3&gt;=10000000,"2nd",IF(E3&gt;=50000,"3rd",IF(E3&gt;=5000,"4th",IF(E3&lt;=5000,"5th")))))</f>
        <v>2nd</v>
      </c>
    </row>
    <row r="4" spans="1:18" x14ac:dyDescent="0.35">
      <c r="A4" t="s">
        <v>15</v>
      </c>
      <c r="B4" t="s">
        <v>83</v>
      </c>
      <c r="C4">
        <v>2866374</v>
      </c>
      <c r="D4">
        <v>2020</v>
      </c>
      <c r="E4">
        <v>334863</v>
      </c>
      <c r="F4">
        <v>330233</v>
      </c>
      <c r="G4">
        <v>3605</v>
      </c>
      <c r="H4">
        <v>1025</v>
      </c>
      <c r="I4">
        <v>1400822</v>
      </c>
      <c r="J4">
        <v>98.62</v>
      </c>
      <c r="K4">
        <v>1.08</v>
      </c>
      <c r="L4">
        <v>48.87</v>
      </c>
      <c r="M4">
        <v>1941032</v>
      </c>
      <c r="N4" t="str">
        <f t="shared" si="0"/>
        <v>3rd</v>
      </c>
    </row>
    <row r="5" spans="1:18" x14ac:dyDescent="0.35">
      <c r="A5" t="s">
        <v>16</v>
      </c>
      <c r="B5" t="s">
        <v>14</v>
      </c>
      <c r="C5">
        <v>45350148</v>
      </c>
      <c r="D5">
        <v>2023</v>
      </c>
      <c r="E5">
        <v>272010</v>
      </c>
      <c r="F5">
        <v>183061</v>
      </c>
      <c r="G5">
        <v>6881</v>
      </c>
      <c r="H5">
        <v>82068</v>
      </c>
      <c r="I5">
        <v>29017896</v>
      </c>
      <c r="J5">
        <v>67.3</v>
      </c>
      <c r="K5">
        <v>2.5299999999999998</v>
      </c>
      <c r="L5">
        <v>63.99</v>
      </c>
      <c r="M5">
        <v>230960</v>
      </c>
      <c r="N5" t="str">
        <f t="shared" si="0"/>
        <v>3rd</v>
      </c>
      <c r="P5" t="s">
        <v>271</v>
      </c>
      <c r="R5">
        <f>COUNTA(A2:A239)</f>
        <v>237</v>
      </c>
    </row>
    <row r="6" spans="1:18" x14ac:dyDescent="0.35">
      <c r="A6" t="s">
        <v>17</v>
      </c>
      <c r="B6" t="s">
        <v>83</v>
      </c>
      <c r="C6">
        <v>77463</v>
      </c>
      <c r="D6">
        <v>2023</v>
      </c>
      <c r="E6">
        <v>48015</v>
      </c>
      <c r="F6">
        <v>235145.5</v>
      </c>
      <c r="G6">
        <v>165</v>
      </c>
      <c r="H6">
        <v>0</v>
      </c>
      <c r="I6">
        <v>58720</v>
      </c>
      <c r="J6">
        <v>489.73</v>
      </c>
      <c r="K6">
        <v>0.34</v>
      </c>
      <c r="L6">
        <v>75.8</v>
      </c>
      <c r="M6">
        <v>249838</v>
      </c>
      <c r="N6" t="str">
        <f t="shared" si="0"/>
        <v>4th</v>
      </c>
      <c r="R6" t="s">
        <v>285</v>
      </c>
    </row>
    <row r="7" spans="1:18" x14ac:dyDescent="0.35">
      <c r="A7" t="s">
        <v>18</v>
      </c>
      <c r="B7" t="s">
        <v>14</v>
      </c>
      <c r="C7">
        <v>35027343</v>
      </c>
      <c r="D7">
        <v>2023</v>
      </c>
      <c r="E7">
        <v>107327</v>
      </c>
      <c r="F7">
        <v>103419</v>
      </c>
      <c r="G7">
        <v>1937</v>
      </c>
      <c r="H7">
        <v>1971</v>
      </c>
      <c r="I7">
        <v>30386555</v>
      </c>
      <c r="J7">
        <v>96.36</v>
      </c>
      <c r="K7">
        <v>1.8</v>
      </c>
      <c r="L7">
        <v>86.75</v>
      </c>
      <c r="M7">
        <v>1499795</v>
      </c>
      <c r="N7" t="str">
        <f t="shared" si="0"/>
        <v>3rd</v>
      </c>
      <c r="P7" t="s">
        <v>272</v>
      </c>
      <c r="R7">
        <f>SUM(G:G)</f>
        <v>14034197</v>
      </c>
    </row>
    <row r="8" spans="1:18" x14ac:dyDescent="0.35">
      <c r="A8" t="s">
        <v>19</v>
      </c>
      <c r="B8" t="s">
        <v>169</v>
      </c>
      <c r="C8">
        <v>15230</v>
      </c>
      <c r="D8">
        <v>2020</v>
      </c>
      <c r="E8">
        <v>3904</v>
      </c>
      <c r="F8">
        <v>235145.5</v>
      </c>
      <c r="G8">
        <v>12</v>
      </c>
      <c r="H8">
        <v>0</v>
      </c>
      <c r="I8">
        <v>9247</v>
      </c>
      <c r="J8">
        <v>6023.19</v>
      </c>
      <c r="K8">
        <v>0.31</v>
      </c>
      <c r="L8">
        <v>60.72</v>
      </c>
      <c r="M8">
        <v>51382</v>
      </c>
      <c r="N8" t="str">
        <f t="shared" si="0"/>
        <v>5th</v>
      </c>
    </row>
    <row r="9" spans="1:18" x14ac:dyDescent="0.35">
      <c r="A9" t="s">
        <v>20</v>
      </c>
      <c r="B9" t="s">
        <v>169</v>
      </c>
      <c r="C9">
        <v>99509</v>
      </c>
      <c r="D9">
        <v>2020</v>
      </c>
      <c r="E9">
        <v>9106</v>
      </c>
      <c r="F9">
        <v>8954</v>
      </c>
      <c r="G9">
        <v>146</v>
      </c>
      <c r="H9">
        <v>6</v>
      </c>
      <c r="I9">
        <v>47113</v>
      </c>
      <c r="J9">
        <v>98.33</v>
      </c>
      <c r="K9">
        <v>1.6</v>
      </c>
      <c r="L9">
        <v>47.35</v>
      </c>
      <c r="M9">
        <v>18901</v>
      </c>
      <c r="N9" t="str">
        <f t="shared" si="0"/>
        <v>4th</v>
      </c>
      <c r="P9" t="s">
        <v>273</v>
      </c>
      <c r="R9">
        <f>SUM(F:F)</f>
        <v>1247473755</v>
      </c>
    </row>
    <row r="10" spans="1:18" x14ac:dyDescent="0.35">
      <c r="A10" t="s">
        <v>21</v>
      </c>
      <c r="B10" t="s">
        <v>210</v>
      </c>
      <c r="C10">
        <v>46010234</v>
      </c>
      <c r="D10">
        <v>2020</v>
      </c>
      <c r="E10">
        <v>10128845</v>
      </c>
      <c r="F10">
        <v>9997258</v>
      </c>
      <c r="G10">
        <v>130841</v>
      </c>
      <c r="H10">
        <v>746</v>
      </c>
      <c r="I10">
        <v>28727564</v>
      </c>
      <c r="J10">
        <v>98.7</v>
      </c>
      <c r="K10">
        <v>1.29</v>
      </c>
      <c r="L10">
        <v>62.44</v>
      </c>
      <c r="M10">
        <v>35716069</v>
      </c>
      <c r="N10" t="str">
        <f t="shared" si="0"/>
        <v>2nd</v>
      </c>
    </row>
    <row r="11" spans="1:18" x14ac:dyDescent="0.35">
      <c r="A11" t="s">
        <v>22</v>
      </c>
      <c r="B11" t="s">
        <v>24</v>
      </c>
      <c r="C11">
        <v>2971966</v>
      </c>
      <c r="D11">
        <v>2020</v>
      </c>
      <c r="E11">
        <v>451831</v>
      </c>
      <c r="F11">
        <v>435162</v>
      </c>
      <c r="G11">
        <v>8777</v>
      </c>
      <c r="H11">
        <v>7892</v>
      </c>
      <c r="I11">
        <v>2009941</v>
      </c>
      <c r="J11">
        <v>96.31</v>
      </c>
      <c r="K11">
        <v>1.94</v>
      </c>
      <c r="L11">
        <v>67.63</v>
      </c>
      <c r="M11">
        <v>3242901</v>
      </c>
      <c r="N11" t="str">
        <f t="shared" si="0"/>
        <v>3rd</v>
      </c>
      <c r="P11" t="s">
        <v>274</v>
      </c>
      <c r="R11">
        <f>SUM(E:E)</f>
        <v>1409507059</v>
      </c>
    </row>
    <row r="12" spans="1:18" x14ac:dyDescent="0.35">
      <c r="A12" t="s">
        <v>23</v>
      </c>
      <c r="B12" t="s">
        <v>169</v>
      </c>
      <c r="C12">
        <v>107609</v>
      </c>
      <c r="D12">
        <v>2021</v>
      </c>
      <c r="E12">
        <v>44224</v>
      </c>
      <c r="F12">
        <v>42438</v>
      </c>
      <c r="G12">
        <v>292</v>
      </c>
      <c r="H12">
        <v>1494</v>
      </c>
      <c r="I12">
        <v>76311</v>
      </c>
      <c r="J12">
        <v>95.96</v>
      </c>
      <c r="K12">
        <v>0.66</v>
      </c>
      <c r="L12">
        <v>70.92</v>
      </c>
      <c r="M12">
        <v>177885</v>
      </c>
      <c r="N12" t="str">
        <f t="shared" si="0"/>
        <v>4th</v>
      </c>
    </row>
    <row r="13" spans="1:18" x14ac:dyDescent="0.35">
      <c r="A13" t="s">
        <v>24</v>
      </c>
      <c r="B13" t="s">
        <v>24</v>
      </c>
      <c r="C13">
        <v>5797805</v>
      </c>
      <c r="D13">
        <v>2020</v>
      </c>
      <c r="E13">
        <v>221500265</v>
      </c>
      <c r="F13">
        <v>205673091</v>
      </c>
      <c r="G13">
        <v>1553662</v>
      </c>
      <c r="H13">
        <v>14273512</v>
      </c>
      <c r="I13">
        <v>5797805</v>
      </c>
      <c r="J13">
        <v>92.85</v>
      </c>
      <c r="K13">
        <v>0.7</v>
      </c>
      <c r="L13">
        <v>100</v>
      </c>
      <c r="M13">
        <v>2226216</v>
      </c>
      <c r="N13" t="str">
        <f t="shared" si="0"/>
        <v>1st</v>
      </c>
      <c r="P13" t="s">
        <v>275</v>
      </c>
      <c r="R13">
        <f>SUM(H:H)</f>
        <v>152593636</v>
      </c>
    </row>
    <row r="14" spans="1:18" x14ac:dyDescent="0.35">
      <c r="A14" t="s">
        <v>25</v>
      </c>
      <c r="B14" t="s">
        <v>172</v>
      </c>
      <c r="C14">
        <v>26068792</v>
      </c>
      <c r="D14">
        <v>2020</v>
      </c>
      <c r="E14">
        <v>11853144</v>
      </c>
      <c r="F14">
        <v>11820014</v>
      </c>
      <c r="G14">
        <v>24414</v>
      </c>
      <c r="H14">
        <v>8716</v>
      </c>
      <c r="I14">
        <v>22875672</v>
      </c>
      <c r="J14">
        <v>99.72</v>
      </c>
      <c r="K14">
        <v>0.21</v>
      </c>
      <c r="L14">
        <v>87.75</v>
      </c>
      <c r="M14">
        <v>81916639</v>
      </c>
      <c r="N14" t="str">
        <f t="shared" si="0"/>
        <v>2nd</v>
      </c>
    </row>
    <row r="15" spans="1:18" x14ac:dyDescent="0.35">
      <c r="A15" t="s">
        <v>26</v>
      </c>
      <c r="B15" t="s">
        <v>83</v>
      </c>
      <c r="C15">
        <v>9066710</v>
      </c>
      <c r="D15">
        <v>2022</v>
      </c>
      <c r="E15">
        <v>6081287</v>
      </c>
      <c r="F15">
        <v>6054934</v>
      </c>
      <c r="G15">
        <v>22542</v>
      </c>
      <c r="H15">
        <v>3811</v>
      </c>
      <c r="I15">
        <v>8527128</v>
      </c>
      <c r="J15">
        <v>99.57</v>
      </c>
      <c r="K15">
        <v>0.37</v>
      </c>
      <c r="L15">
        <v>94.05</v>
      </c>
      <c r="M15">
        <v>211273524</v>
      </c>
      <c r="N15" t="str">
        <f t="shared" si="0"/>
        <v>3rd</v>
      </c>
      <c r="P15" t="s">
        <v>276</v>
      </c>
      <c r="R15">
        <f>SUM(I:I)</f>
        <v>5585178620</v>
      </c>
    </row>
    <row r="16" spans="1:18" x14ac:dyDescent="0.35">
      <c r="A16" t="s">
        <v>27</v>
      </c>
      <c r="B16" t="s">
        <v>24</v>
      </c>
      <c r="C16">
        <v>10300205</v>
      </c>
      <c r="D16">
        <v>2022</v>
      </c>
      <c r="E16">
        <v>835234</v>
      </c>
      <c r="F16">
        <v>824089</v>
      </c>
      <c r="G16">
        <v>10400</v>
      </c>
      <c r="H16">
        <v>745</v>
      </c>
      <c r="I16">
        <v>6480020</v>
      </c>
      <c r="J16">
        <v>98.67</v>
      </c>
      <c r="K16">
        <v>1.25</v>
      </c>
      <c r="L16">
        <v>62.91</v>
      </c>
      <c r="M16">
        <v>7748050</v>
      </c>
      <c r="N16" t="str">
        <f t="shared" si="0"/>
        <v>3rd</v>
      </c>
    </row>
    <row r="17" spans="1:18" x14ac:dyDescent="0.35">
      <c r="A17" t="s">
        <v>28</v>
      </c>
      <c r="B17" t="s">
        <v>169</v>
      </c>
      <c r="C17">
        <v>400516</v>
      </c>
      <c r="D17">
        <v>2023</v>
      </c>
      <c r="E17">
        <v>38084</v>
      </c>
      <c r="F17">
        <v>36366</v>
      </c>
      <c r="G17">
        <v>844</v>
      </c>
      <c r="H17">
        <v>874</v>
      </c>
      <c r="I17">
        <v>229910</v>
      </c>
      <c r="J17">
        <v>95.49</v>
      </c>
      <c r="K17">
        <v>2.2200000000000002</v>
      </c>
      <c r="L17">
        <v>57.4</v>
      </c>
      <c r="M17">
        <v>257839</v>
      </c>
      <c r="N17" t="str">
        <f t="shared" si="0"/>
        <v>4th</v>
      </c>
      <c r="P17" t="s">
        <v>277</v>
      </c>
      <c r="R17">
        <f>SUM(M:M)</f>
        <v>7079934497</v>
      </c>
    </row>
    <row r="18" spans="1:18" x14ac:dyDescent="0.35">
      <c r="A18" t="s">
        <v>29</v>
      </c>
      <c r="B18" t="s">
        <v>24</v>
      </c>
      <c r="C18">
        <v>1783983</v>
      </c>
      <c r="D18">
        <v>2020</v>
      </c>
      <c r="E18">
        <v>729549</v>
      </c>
      <c r="F18">
        <v>727915</v>
      </c>
      <c r="G18">
        <v>1574</v>
      </c>
      <c r="H18">
        <v>60</v>
      </c>
      <c r="I18">
        <v>1032501</v>
      </c>
      <c r="J18">
        <v>99.78</v>
      </c>
      <c r="K18">
        <v>0.22</v>
      </c>
      <c r="L18">
        <v>57.88</v>
      </c>
      <c r="M18">
        <v>10948549</v>
      </c>
      <c r="N18" t="str">
        <f t="shared" si="0"/>
        <v>3rd</v>
      </c>
    </row>
    <row r="19" spans="1:18" x14ac:dyDescent="0.35">
      <c r="A19" t="s">
        <v>30</v>
      </c>
      <c r="B19" t="s">
        <v>24</v>
      </c>
      <c r="C19">
        <v>167885689</v>
      </c>
      <c r="D19">
        <v>2023</v>
      </c>
      <c r="E19">
        <v>2049377</v>
      </c>
      <c r="F19">
        <v>235145.5</v>
      </c>
      <c r="G19">
        <v>29493</v>
      </c>
      <c r="H19">
        <v>1784738</v>
      </c>
      <c r="I19">
        <v>144559529</v>
      </c>
      <c r="J19">
        <v>11.47</v>
      </c>
      <c r="K19">
        <v>1.44</v>
      </c>
      <c r="L19">
        <v>86.11</v>
      </c>
      <c r="M19">
        <v>15254399</v>
      </c>
      <c r="N19" t="str">
        <f t="shared" si="0"/>
        <v>3rd</v>
      </c>
      <c r="P19" t="s">
        <v>284</v>
      </c>
    </row>
    <row r="20" spans="1:18" x14ac:dyDescent="0.35">
      <c r="A20" t="s">
        <v>31</v>
      </c>
      <c r="B20" t="s">
        <v>169</v>
      </c>
      <c r="C20">
        <v>288023</v>
      </c>
      <c r="D20">
        <v>2020</v>
      </c>
      <c r="E20">
        <v>110578</v>
      </c>
      <c r="F20">
        <v>108647</v>
      </c>
      <c r="G20">
        <v>648</v>
      </c>
      <c r="H20">
        <v>1283</v>
      </c>
      <c r="I20">
        <v>208076</v>
      </c>
      <c r="J20">
        <v>98.25</v>
      </c>
      <c r="K20">
        <v>0.59</v>
      </c>
      <c r="L20">
        <v>72.239999999999995</v>
      </c>
      <c r="M20">
        <v>814159</v>
      </c>
      <c r="N20" t="str">
        <f t="shared" si="0"/>
        <v>3rd</v>
      </c>
    </row>
    <row r="21" spans="1:18" x14ac:dyDescent="0.35">
      <c r="A21" t="s">
        <v>32</v>
      </c>
      <c r="B21" t="s">
        <v>83</v>
      </c>
      <c r="C21">
        <v>9432800</v>
      </c>
      <c r="D21">
        <v>2023</v>
      </c>
      <c r="E21">
        <v>994037</v>
      </c>
      <c r="F21">
        <v>985592</v>
      </c>
      <c r="G21">
        <v>7118</v>
      </c>
      <c r="H21">
        <v>1327</v>
      </c>
      <c r="I21">
        <v>6772062</v>
      </c>
      <c r="J21">
        <v>99.15</v>
      </c>
      <c r="K21">
        <v>0.72</v>
      </c>
      <c r="L21">
        <v>71.790000000000006</v>
      </c>
      <c r="M21">
        <v>13646641</v>
      </c>
      <c r="N21" t="str">
        <f t="shared" si="0"/>
        <v>3rd</v>
      </c>
    </row>
    <row r="22" spans="1:18" x14ac:dyDescent="0.35">
      <c r="A22" t="s">
        <v>33</v>
      </c>
      <c r="B22" t="s">
        <v>83</v>
      </c>
      <c r="C22">
        <v>11668278</v>
      </c>
      <c r="D22">
        <v>2020</v>
      </c>
      <c r="E22">
        <v>4861695</v>
      </c>
      <c r="F22">
        <v>4826798</v>
      </c>
      <c r="G22">
        <v>34376</v>
      </c>
      <c r="H22">
        <v>521</v>
      </c>
      <c r="I22">
        <v>7235473</v>
      </c>
      <c r="J22">
        <v>99.28</v>
      </c>
      <c r="K22">
        <v>0.71</v>
      </c>
      <c r="L22">
        <v>62.01</v>
      </c>
      <c r="M22">
        <v>37454182</v>
      </c>
      <c r="N22" t="str">
        <f t="shared" si="0"/>
        <v>3rd</v>
      </c>
    </row>
    <row r="23" spans="1:18" x14ac:dyDescent="0.35">
      <c r="A23" t="s">
        <v>34</v>
      </c>
      <c r="B23" t="s">
        <v>169</v>
      </c>
      <c r="C23">
        <v>412190</v>
      </c>
      <c r="D23">
        <v>2021</v>
      </c>
      <c r="E23">
        <v>71409</v>
      </c>
      <c r="F23">
        <v>235145.5</v>
      </c>
      <c r="G23">
        <v>688</v>
      </c>
      <c r="H23">
        <v>0</v>
      </c>
      <c r="I23">
        <v>332348</v>
      </c>
      <c r="J23">
        <v>329.29</v>
      </c>
      <c r="K23">
        <v>0.96</v>
      </c>
      <c r="L23">
        <v>80.63</v>
      </c>
      <c r="M23">
        <v>576016</v>
      </c>
      <c r="N23" t="str">
        <f t="shared" si="0"/>
        <v>3rd</v>
      </c>
    </row>
    <row r="24" spans="1:18" x14ac:dyDescent="0.35">
      <c r="A24" t="s">
        <v>35</v>
      </c>
      <c r="B24" t="s">
        <v>14</v>
      </c>
      <c r="C24">
        <v>12784726</v>
      </c>
      <c r="D24">
        <v>2020</v>
      </c>
      <c r="E24">
        <v>28036</v>
      </c>
      <c r="F24">
        <v>27847</v>
      </c>
      <c r="G24">
        <v>163</v>
      </c>
      <c r="H24">
        <v>26</v>
      </c>
      <c r="I24">
        <v>9358025</v>
      </c>
      <c r="J24">
        <v>99.33</v>
      </c>
      <c r="K24">
        <v>0.57999999999999996</v>
      </c>
      <c r="L24">
        <v>73.2</v>
      </c>
      <c r="M24">
        <v>604310</v>
      </c>
      <c r="N24" t="str">
        <f t="shared" si="0"/>
        <v>4th</v>
      </c>
    </row>
    <row r="25" spans="1:18" x14ac:dyDescent="0.35">
      <c r="A25" t="s">
        <v>36</v>
      </c>
      <c r="B25" t="s">
        <v>169</v>
      </c>
      <c r="C25">
        <v>61939</v>
      </c>
      <c r="D25">
        <v>2021</v>
      </c>
      <c r="E25">
        <v>18860</v>
      </c>
      <c r="F25">
        <v>18685</v>
      </c>
      <c r="G25">
        <v>165</v>
      </c>
      <c r="H25">
        <v>10</v>
      </c>
      <c r="I25">
        <v>39172</v>
      </c>
      <c r="J25">
        <v>99.07</v>
      </c>
      <c r="K25">
        <v>0.87</v>
      </c>
      <c r="L25">
        <v>63.24</v>
      </c>
      <c r="M25">
        <v>1029558</v>
      </c>
      <c r="N25" t="str">
        <f t="shared" si="0"/>
        <v>4th</v>
      </c>
    </row>
    <row r="26" spans="1:18" x14ac:dyDescent="0.35">
      <c r="A26" t="s">
        <v>37</v>
      </c>
      <c r="B26" t="s">
        <v>24</v>
      </c>
      <c r="C26">
        <v>787941</v>
      </c>
      <c r="D26">
        <v>2022</v>
      </c>
      <c r="E26">
        <v>62697</v>
      </c>
      <c r="F26">
        <v>61564</v>
      </c>
      <c r="G26">
        <v>21</v>
      </c>
      <c r="H26">
        <v>1112</v>
      </c>
      <c r="I26">
        <v>684593</v>
      </c>
      <c r="J26">
        <v>98.19</v>
      </c>
      <c r="K26">
        <v>0.03</v>
      </c>
      <c r="L26">
        <v>86.88</v>
      </c>
      <c r="M26">
        <v>2303734</v>
      </c>
      <c r="N26" t="str">
        <f t="shared" si="0"/>
        <v>3rd</v>
      </c>
    </row>
    <row r="27" spans="1:18" x14ac:dyDescent="0.35">
      <c r="A27" t="s">
        <v>38</v>
      </c>
      <c r="B27" t="s">
        <v>210</v>
      </c>
      <c r="C27">
        <v>11992656</v>
      </c>
      <c r="D27">
        <v>2021</v>
      </c>
      <c r="E27">
        <v>1212131</v>
      </c>
      <c r="F27">
        <v>1177145</v>
      </c>
      <c r="G27">
        <v>22407</v>
      </c>
      <c r="H27">
        <v>12579</v>
      </c>
      <c r="I27">
        <v>6928200</v>
      </c>
      <c r="J27">
        <v>97.11</v>
      </c>
      <c r="K27">
        <v>1.85</v>
      </c>
      <c r="L27">
        <v>57.77</v>
      </c>
      <c r="M27">
        <v>2710261</v>
      </c>
      <c r="N27" t="str">
        <f t="shared" si="0"/>
        <v>3rd</v>
      </c>
    </row>
    <row r="28" spans="1:18" x14ac:dyDescent="0.35">
      <c r="A28" t="s">
        <v>39</v>
      </c>
      <c r="B28" t="s">
        <v>83</v>
      </c>
      <c r="C28">
        <v>3249317</v>
      </c>
      <c r="D28">
        <v>2022</v>
      </c>
      <c r="E28">
        <v>403615</v>
      </c>
      <c r="F28">
        <v>379084</v>
      </c>
      <c r="G28">
        <v>16388</v>
      </c>
      <c r="H28">
        <v>8143</v>
      </c>
      <c r="I28">
        <v>1810360</v>
      </c>
      <c r="J28">
        <v>93.92</v>
      </c>
      <c r="K28">
        <v>4.0599999999999996</v>
      </c>
      <c r="L28">
        <v>55.72</v>
      </c>
      <c r="M28">
        <v>1884721</v>
      </c>
      <c r="N28" t="str">
        <f t="shared" si="0"/>
        <v>3rd</v>
      </c>
    </row>
    <row r="29" spans="1:18" x14ac:dyDescent="0.35">
      <c r="A29" t="s">
        <v>40</v>
      </c>
      <c r="B29" t="s">
        <v>14</v>
      </c>
      <c r="C29">
        <v>2441162</v>
      </c>
      <c r="D29">
        <v>2023</v>
      </c>
      <c r="E29">
        <v>330638</v>
      </c>
      <c r="F29">
        <v>327049</v>
      </c>
      <c r="G29">
        <v>2801</v>
      </c>
      <c r="H29">
        <v>788</v>
      </c>
      <c r="I29">
        <v>1647016</v>
      </c>
      <c r="J29">
        <v>98.91</v>
      </c>
      <c r="K29">
        <v>0.85</v>
      </c>
      <c r="L29">
        <v>67.47</v>
      </c>
      <c r="M29">
        <v>2026898</v>
      </c>
      <c r="N29" t="str">
        <f t="shared" si="0"/>
        <v>3rd</v>
      </c>
    </row>
    <row r="30" spans="1:18" x14ac:dyDescent="0.35">
      <c r="A30" t="s">
        <v>41</v>
      </c>
      <c r="B30" t="s">
        <v>210</v>
      </c>
      <c r="C30">
        <v>215353593</v>
      </c>
      <c r="D30">
        <v>2021</v>
      </c>
      <c r="E30">
        <v>38743918</v>
      </c>
      <c r="F30">
        <v>36249161</v>
      </c>
      <c r="G30">
        <v>711380</v>
      </c>
      <c r="H30">
        <v>1783377</v>
      </c>
      <c r="I30">
        <v>140304144</v>
      </c>
      <c r="J30">
        <v>93.56</v>
      </c>
      <c r="K30">
        <v>1.84</v>
      </c>
      <c r="L30">
        <v>65.150000000000006</v>
      </c>
      <c r="M30">
        <v>63776166</v>
      </c>
      <c r="N30" t="str">
        <f t="shared" si="0"/>
        <v>2nd</v>
      </c>
    </row>
    <row r="31" spans="1:18" x14ac:dyDescent="0.35">
      <c r="A31" t="s">
        <v>42</v>
      </c>
      <c r="B31" t="s">
        <v>169</v>
      </c>
      <c r="C31">
        <v>30596</v>
      </c>
      <c r="D31">
        <v>2022</v>
      </c>
      <c r="E31">
        <v>7392</v>
      </c>
      <c r="F31">
        <v>235145.5</v>
      </c>
      <c r="G31">
        <v>64</v>
      </c>
      <c r="H31">
        <v>0</v>
      </c>
      <c r="I31">
        <v>19032</v>
      </c>
      <c r="J31">
        <v>3181.08</v>
      </c>
      <c r="K31">
        <v>0.87</v>
      </c>
      <c r="L31">
        <v>62.2</v>
      </c>
      <c r="M31">
        <v>107339</v>
      </c>
      <c r="N31" t="str">
        <f t="shared" si="0"/>
        <v>4th</v>
      </c>
    </row>
    <row r="32" spans="1:18" x14ac:dyDescent="0.35">
      <c r="A32" t="s">
        <v>43</v>
      </c>
      <c r="B32" t="s">
        <v>24</v>
      </c>
      <c r="C32">
        <v>445431</v>
      </c>
      <c r="D32">
        <v>2021</v>
      </c>
      <c r="E32">
        <v>343719</v>
      </c>
      <c r="F32">
        <v>243601</v>
      </c>
      <c r="G32">
        <v>225</v>
      </c>
      <c r="H32">
        <v>99893</v>
      </c>
      <c r="I32">
        <v>343719</v>
      </c>
      <c r="J32">
        <v>70.87</v>
      </c>
      <c r="K32">
        <v>7.0000000000000007E-2</v>
      </c>
      <c r="L32">
        <v>77.17</v>
      </c>
      <c r="M32">
        <v>717784</v>
      </c>
      <c r="N32" t="str">
        <f t="shared" si="0"/>
        <v>3rd</v>
      </c>
    </row>
    <row r="33" spans="1:14" x14ac:dyDescent="0.35">
      <c r="A33" t="s">
        <v>44</v>
      </c>
      <c r="B33" t="s">
        <v>83</v>
      </c>
      <c r="C33">
        <v>6844597</v>
      </c>
      <c r="D33">
        <v>2020</v>
      </c>
      <c r="E33">
        <v>1339851</v>
      </c>
      <c r="F33">
        <v>1292944</v>
      </c>
      <c r="G33">
        <v>38748</v>
      </c>
      <c r="H33">
        <v>8159</v>
      </c>
      <c r="I33">
        <v>4567101</v>
      </c>
      <c r="J33">
        <v>96.5</v>
      </c>
      <c r="K33">
        <v>2.89</v>
      </c>
      <c r="L33">
        <v>66.73</v>
      </c>
      <c r="M33">
        <v>11671043</v>
      </c>
      <c r="N33" t="str">
        <f t="shared" si="0"/>
        <v>3rd</v>
      </c>
    </row>
    <row r="34" spans="1:14" x14ac:dyDescent="0.35">
      <c r="A34" t="s">
        <v>45</v>
      </c>
      <c r="B34" t="s">
        <v>14</v>
      </c>
      <c r="C34">
        <v>22102838</v>
      </c>
      <c r="D34">
        <v>2020</v>
      </c>
      <c r="E34">
        <v>22114</v>
      </c>
      <c r="F34">
        <v>21596</v>
      </c>
      <c r="G34">
        <v>400</v>
      </c>
      <c r="H34">
        <v>118</v>
      </c>
      <c r="I34">
        <v>16211863</v>
      </c>
      <c r="J34">
        <v>97.66</v>
      </c>
      <c r="K34">
        <v>1.81</v>
      </c>
      <c r="L34">
        <v>73.349999999999994</v>
      </c>
      <c r="M34">
        <v>248995</v>
      </c>
      <c r="N34" t="str">
        <f t="shared" si="0"/>
        <v>4th</v>
      </c>
    </row>
    <row r="35" spans="1:14" x14ac:dyDescent="0.35">
      <c r="A35" t="s">
        <v>46</v>
      </c>
      <c r="B35" t="s">
        <v>14</v>
      </c>
      <c r="C35">
        <v>12624840</v>
      </c>
      <c r="D35">
        <v>2023</v>
      </c>
      <c r="E35">
        <v>54721</v>
      </c>
      <c r="F35">
        <v>53569</v>
      </c>
      <c r="G35">
        <v>38</v>
      </c>
      <c r="H35">
        <v>1114</v>
      </c>
      <c r="I35">
        <v>9240560</v>
      </c>
      <c r="J35">
        <v>97.89</v>
      </c>
      <c r="K35">
        <v>7.0000000000000007E-2</v>
      </c>
      <c r="L35">
        <v>73.19</v>
      </c>
      <c r="M35">
        <v>345742</v>
      </c>
      <c r="N35" t="str">
        <f t="shared" si="0"/>
        <v>3rd</v>
      </c>
    </row>
    <row r="36" spans="1:14" x14ac:dyDescent="0.35">
      <c r="A36" t="s">
        <v>47</v>
      </c>
      <c r="B36" t="s">
        <v>14</v>
      </c>
      <c r="C36">
        <v>5016678</v>
      </c>
      <c r="D36">
        <v>2021</v>
      </c>
      <c r="E36">
        <v>15440</v>
      </c>
      <c r="F36">
        <v>15200</v>
      </c>
      <c r="G36">
        <v>113</v>
      </c>
      <c r="H36">
        <v>127</v>
      </c>
      <c r="I36">
        <v>4410255</v>
      </c>
      <c r="J36">
        <v>98.45</v>
      </c>
      <c r="K36">
        <v>0.73</v>
      </c>
      <c r="L36">
        <v>87.91</v>
      </c>
      <c r="M36">
        <v>81294</v>
      </c>
      <c r="N36" t="str">
        <f t="shared" si="0"/>
        <v>4th</v>
      </c>
    </row>
    <row r="37" spans="1:14" x14ac:dyDescent="0.35">
      <c r="A37" t="s">
        <v>48</v>
      </c>
      <c r="B37" t="s">
        <v>14</v>
      </c>
      <c r="C37">
        <v>567678</v>
      </c>
      <c r="D37">
        <v>2020</v>
      </c>
      <c r="E37">
        <v>64477</v>
      </c>
      <c r="F37">
        <v>63755</v>
      </c>
      <c r="G37">
        <v>417</v>
      </c>
      <c r="H37">
        <v>305</v>
      </c>
      <c r="I37">
        <v>433449</v>
      </c>
      <c r="J37">
        <v>98.88</v>
      </c>
      <c r="K37">
        <v>0.65</v>
      </c>
      <c r="L37">
        <v>76.349999999999994</v>
      </c>
      <c r="M37">
        <v>401622</v>
      </c>
      <c r="N37" t="str">
        <f t="shared" si="0"/>
        <v>3rd</v>
      </c>
    </row>
    <row r="38" spans="1:14" x14ac:dyDescent="0.35">
      <c r="A38" t="s">
        <v>49</v>
      </c>
      <c r="B38" t="s">
        <v>24</v>
      </c>
      <c r="C38">
        <v>17168639</v>
      </c>
      <c r="D38">
        <v>2023</v>
      </c>
      <c r="E38">
        <v>139103</v>
      </c>
      <c r="F38">
        <v>136044</v>
      </c>
      <c r="G38">
        <v>3056</v>
      </c>
      <c r="H38">
        <v>3</v>
      </c>
      <c r="I38">
        <v>13795045</v>
      </c>
      <c r="J38">
        <v>97.8</v>
      </c>
      <c r="K38">
        <v>2.2000000000000002</v>
      </c>
      <c r="L38">
        <v>80.349999999999994</v>
      </c>
      <c r="M38">
        <v>3091420</v>
      </c>
      <c r="N38" t="str">
        <f t="shared" si="0"/>
        <v>3rd</v>
      </c>
    </row>
    <row r="39" spans="1:14" x14ac:dyDescent="0.35">
      <c r="A39" t="s">
        <v>50</v>
      </c>
      <c r="B39" t="s">
        <v>14</v>
      </c>
      <c r="C39">
        <v>27911548</v>
      </c>
      <c r="D39">
        <v>2021</v>
      </c>
      <c r="E39">
        <v>125379</v>
      </c>
      <c r="F39">
        <v>123280</v>
      </c>
      <c r="G39">
        <v>1974</v>
      </c>
      <c r="H39">
        <v>125</v>
      </c>
      <c r="I39">
        <v>21906608</v>
      </c>
      <c r="J39">
        <v>98.33</v>
      </c>
      <c r="K39">
        <v>1.57</v>
      </c>
      <c r="L39">
        <v>78.489999999999995</v>
      </c>
      <c r="M39">
        <v>1751774</v>
      </c>
      <c r="N39" t="str">
        <f t="shared" si="0"/>
        <v>3rd</v>
      </c>
    </row>
    <row r="40" spans="1:14" x14ac:dyDescent="0.35">
      <c r="A40" t="s">
        <v>51</v>
      </c>
      <c r="B40" t="s">
        <v>169</v>
      </c>
      <c r="C40">
        <v>38388419</v>
      </c>
      <c r="D40">
        <v>2020</v>
      </c>
      <c r="E40">
        <v>4946090</v>
      </c>
      <c r="F40">
        <v>4881312</v>
      </c>
      <c r="G40">
        <v>59034</v>
      </c>
      <c r="H40">
        <v>5744</v>
      </c>
      <c r="I40">
        <v>32719235</v>
      </c>
      <c r="J40">
        <v>98.69</v>
      </c>
      <c r="K40">
        <v>1.19</v>
      </c>
      <c r="L40">
        <v>85.23</v>
      </c>
      <c r="M40">
        <v>66572774</v>
      </c>
      <c r="N40" t="str">
        <f t="shared" si="0"/>
        <v>3rd</v>
      </c>
    </row>
    <row r="41" spans="1:14" x14ac:dyDescent="0.35">
      <c r="A41" t="s">
        <v>52</v>
      </c>
      <c r="B41" t="s">
        <v>169</v>
      </c>
      <c r="C41">
        <v>26647</v>
      </c>
      <c r="D41">
        <v>2020</v>
      </c>
      <c r="E41">
        <v>11682</v>
      </c>
      <c r="F41">
        <v>10476</v>
      </c>
      <c r="G41">
        <v>38</v>
      </c>
      <c r="H41">
        <v>1168</v>
      </c>
      <c r="I41">
        <v>18650</v>
      </c>
      <c r="J41">
        <v>89.68</v>
      </c>
      <c r="K41">
        <v>0.33</v>
      </c>
      <c r="L41">
        <v>69.989999999999995</v>
      </c>
      <c r="M41">
        <v>30126</v>
      </c>
      <c r="N41" t="str">
        <f t="shared" si="0"/>
        <v>4th</v>
      </c>
    </row>
    <row r="42" spans="1:14" x14ac:dyDescent="0.35">
      <c r="A42" t="s">
        <v>53</v>
      </c>
      <c r="B42" t="s">
        <v>169</v>
      </c>
      <c r="C42">
        <v>67277</v>
      </c>
      <c r="D42">
        <v>2023</v>
      </c>
      <c r="E42">
        <v>31472</v>
      </c>
      <c r="F42">
        <v>8553</v>
      </c>
      <c r="G42">
        <v>37</v>
      </c>
      <c r="H42">
        <v>22882</v>
      </c>
      <c r="I42">
        <v>48269</v>
      </c>
      <c r="J42">
        <v>27.18</v>
      </c>
      <c r="K42">
        <v>0.12</v>
      </c>
      <c r="L42">
        <v>71.75</v>
      </c>
      <c r="M42">
        <v>222773</v>
      </c>
      <c r="N42" t="str">
        <f t="shared" si="0"/>
        <v>4th</v>
      </c>
    </row>
    <row r="43" spans="1:14" x14ac:dyDescent="0.35">
      <c r="A43" t="s">
        <v>54</v>
      </c>
      <c r="B43" t="s">
        <v>14</v>
      </c>
      <c r="C43">
        <v>17413580</v>
      </c>
      <c r="D43">
        <v>2022</v>
      </c>
      <c r="E43">
        <v>7701</v>
      </c>
      <c r="F43">
        <v>4874</v>
      </c>
      <c r="G43">
        <v>194</v>
      </c>
      <c r="H43">
        <v>2633</v>
      </c>
      <c r="I43">
        <v>13768304</v>
      </c>
      <c r="J43">
        <v>63.29</v>
      </c>
      <c r="K43">
        <v>2.52</v>
      </c>
      <c r="L43">
        <v>79.069999999999993</v>
      </c>
      <c r="M43">
        <v>191341</v>
      </c>
      <c r="N43" t="str">
        <f t="shared" si="0"/>
        <v>4th</v>
      </c>
    </row>
    <row r="44" spans="1:14" x14ac:dyDescent="0.35">
      <c r="A44" t="s">
        <v>55</v>
      </c>
      <c r="B44" t="s">
        <v>83</v>
      </c>
      <c r="C44">
        <v>176463</v>
      </c>
      <c r="D44">
        <v>2023</v>
      </c>
      <c r="E44">
        <v>101717</v>
      </c>
      <c r="F44">
        <v>101321</v>
      </c>
      <c r="G44">
        <v>228</v>
      </c>
      <c r="H44">
        <v>168</v>
      </c>
      <c r="I44">
        <v>101717</v>
      </c>
      <c r="J44">
        <v>99.61</v>
      </c>
      <c r="K44">
        <v>0.22</v>
      </c>
      <c r="L44">
        <v>57.64</v>
      </c>
      <c r="M44">
        <v>1252808</v>
      </c>
      <c r="N44" t="str">
        <f t="shared" si="0"/>
        <v>3rd</v>
      </c>
    </row>
    <row r="45" spans="1:14" x14ac:dyDescent="0.35">
      <c r="A45" t="s">
        <v>56</v>
      </c>
      <c r="B45" t="s">
        <v>210</v>
      </c>
      <c r="C45">
        <v>19250195</v>
      </c>
      <c r="D45">
        <v>2023</v>
      </c>
      <c r="E45">
        <v>5384853</v>
      </c>
      <c r="F45">
        <v>5252450</v>
      </c>
      <c r="G45">
        <v>64497</v>
      </c>
      <c r="H45">
        <v>67906</v>
      </c>
      <c r="I45">
        <v>11698390</v>
      </c>
      <c r="J45">
        <v>97.54</v>
      </c>
      <c r="K45">
        <v>1.2</v>
      </c>
      <c r="L45">
        <v>60.77</v>
      </c>
      <c r="M45">
        <v>50382097</v>
      </c>
      <c r="N45" t="str">
        <f t="shared" si="0"/>
        <v>3rd</v>
      </c>
    </row>
    <row r="46" spans="1:14" x14ac:dyDescent="0.35">
      <c r="A46" t="s">
        <v>57</v>
      </c>
      <c r="B46" t="s">
        <v>24</v>
      </c>
      <c r="C46">
        <v>1448471400</v>
      </c>
      <c r="D46">
        <v>2022</v>
      </c>
      <c r="E46">
        <v>503302</v>
      </c>
      <c r="F46">
        <v>379053</v>
      </c>
      <c r="G46">
        <v>5272</v>
      </c>
      <c r="H46">
        <v>118977</v>
      </c>
      <c r="I46">
        <v>840194735</v>
      </c>
      <c r="J46">
        <v>75.31</v>
      </c>
      <c r="K46">
        <v>1.05</v>
      </c>
      <c r="L46">
        <v>58.01</v>
      </c>
      <c r="M46">
        <v>160000000</v>
      </c>
      <c r="N46" t="str">
        <f t="shared" si="0"/>
        <v>3rd</v>
      </c>
    </row>
    <row r="47" spans="1:14" x14ac:dyDescent="0.35">
      <c r="A47" t="s">
        <v>58</v>
      </c>
      <c r="B47" t="s">
        <v>210</v>
      </c>
      <c r="C47">
        <v>51512762</v>
      </c>
      <c r="D47">
        <v>2023</v>
      </c>
      <c r="E47">
        <v>6400173</v>
      </c>
      <c r="F47">
        <v>6212152</v>
      </c>
      <c r="G47">
        <v>143200</v>
      </c>
      <c r="H47">
        <v>44821</v>
      </c>
      <c r="I47">
        <v>26374797</v>
      </c>
      <c r="J47">
        <v>97.06</v>
      </c>
      <c r="K47">
        <v>2.2400000000000002</v>
      </c>
      <c r="L47">
        <v>51.2</v>
      </c>
      <c r="M47">
        <v>36951507</v>
      </c>
      <c r="N47" t="str">
        <f t="shared" si="0"/>
        <v>3rd</v>
      </c>
    </row>
    <row r="48" spans="1:14" x14ac:dyDescent="0.35">
      <c r="A48" t="s">
        <v>59</v>
      </c>
      <c r="B48" t="s">
        <v>14</v>
      </c>
      <c r="C48">
        <v>907419</v>
      </c>
      <c r="D48">
        <v>2022</v>
      </c>
      <c r="E48">
        <v>9109</v>
      </c>
      <c r="F48">
        <v>8939</v>
      </c>
      <c r="G48">
        <v>161</v>
      </c>
      <c r="H48">
        <v>9</v>
      </c>
      <c r="I48">
        <v>428646</v>
      </c>
      <c r="J48">
        <v>98.13</v>
      </c>
      <c r="K48">
        <v>1.77</v>
      </c>
      <c r="L48">
        <v>47.24</v>
      </c>
      <c r="M48">
        <v>2226216</v>
      </c>
      <c r="N48" t="str">
        <f t="shared" si="0"/>
        <v>4th</v>
      </c>
    </row>
    <row r="49" spans="1:14" x14ac:dyDescent="0.35">
      <c r="A49" t="s">
        <v>60</v>
      </c>
      <c r="B49" t="s">
        <v>14</v>
      </c>
      <c r="C49">
        <v>5797805</v>
      </c>
      <c r="D49">
        <v>2023</v>
      </c>
      <c r="E49">
        <v>25375</v>
      </c>
      <c r="F49">
        <v>24006</v>
      </c>
      <c r="G49">
        <v>386</v>
      </c>
      <c r="H49">
        <v>983</v>
      </c>
      <c r="I49">
        <v>4956494</v>
      </c>
      <c r="J49">
        <v>94.6</v>
      </c>
      <c r="K49">
        <v>1.52</v>
      </c>
      <c r="L49">
        <v>85.49</v>
      </c>
      <c r="M49">
        <v>347815</v>
      </c>
      <c r="N49" t="str">
        <f t="shared" si="0"/>
        <v>4th</v>
      </c>
    </row>
    <row r="50" spans="1:14" x14ac:dyDescent="0.35">
      <c r="A50" t="s">
        <v>61</v>
      </c>
      <c r="B50" t="s">
        <v>172</v>
      </c>
      <c r="C50">
        <v>17571</v>
      </c>
      <c r="D50">
        <v>2022</v>
      </c>
      <c r="E50">
        <v>7203</v>
      </c>
      <c r="F50">
        <v>7150</v>
      </c>
      <c r="G50">
        <v>2</v>
      </c>
      <c r="H50">
        <v>51</v>
      </c>
      <c r="I50">
        <v>14665</v>
      </c>
      <c r="J50">
        <v>99.26</v>
      </c>
      <c r="K50">
        <v>0.03</v>
      </c>
      <c r="L50">
        <v>83.46</v>
      </c>
      <c r="M50">
        <v>19690</v>
      </c>
      <c r="N50" t="str">
        <f t="shared" si="0"/>
        <v>4th</v>
      </c>
    </row>
    <row r="51" spans="1:14" x14ac:dyDescent="0.35">
      <c r="A51" t="s">
        <v>62</v>
      </c>
      <c r="B51" t="s">
        <v>169</v>
      </c>
      <c r="C51">
        <v>5182354</v>
      </c>
      <c r="D51">
        <v>2020</v>
      </c>
      <c r="E51">
        <v>1238883</v>
      </c>
      <c r="F51">
        <v>235145.5</v>
      </c>
      <c r="G51">
        <v>9428</v>
      </c>
      <c r="H51">
        <v>994310</v>
      </c>
      <c r="I51">
        <v>4142102</v>
      </c>
      <c r="J51">
        <v>18.98</v>
      </c>
      <c r="K51">
        <v>0.76</v>
      </c>
      <c r="L51">
        <v>79.930000000000007</v>
      </c>
      <c r="M51">
        <v>4659757</v>
      </c>
      <c r="N51" t="str">
        <f t="shared" si="0"/>
        <v>3rd</v>
      </c>
    </row>
    <row r="52" spans="1:14" x14ac:dyDescent="0.35">
      <c r="A52" t="s">
        <v>63</v>
      </c>
      <c r="B52" t="s">
        <v>83</v>
      </c>
      <c r="C52">
        <v>4059286</v>
      </c>
      <c r="D52">
        <v>2022</v>
      </c>
      <c r="E52">
        <v>1309728</v>
      </c>
      <c r="F52">
        <v>1258432</v>
      </c>
      <c r="G52">
        <v>18687</v>
      </c>
      <c r="H52">
        <v>32609</v>
      </c>
      <c r="I52">
        <v>2685045</v>
      </c>
      <c r="J52">
        <v>96.08</v>
      </c>
      <c r="K52">
        <v>1.43</v>
      </c>
      <c r="L52">
        <v>66.150000000000006</v>
      </c>
      <c r="M52">
        <v>5660084</v>
      </c>
      <c r="N52" t="str">
        <f t="shared" si="0"/>
        <v>3rd</v>
      </c>
    </row>
    <row r="53" spans="1:14" x14ac:dyDescent="0.35">
      <c r="A53" t="s">
        <v>64</v>
      </c>
      <c r="B53" t="s">
        <v>169</v>
      </c>
      <c r="C53">
        <v>11305652</v>
      </c>
      <c r="D53">
        <v>2020</v>
      </c>
      <c r="E53">
        <v>1115251</v>
      </c>
      <c r="F53">
        <v>1106660</v>
      </c>
      <c r="G53">
        <v>8530</v>
      </c>
      <c r="H53">
        <v>61</v>
      </c>
      <c r="I53">
        <v>8501473</v>
      </c>
      <c r="J53">
        <v>99.23</v>
      </c>
      <c r="K53">
        <v>0.76</v>
      </c>
      <c r="L53">
        <v>75.2</v>
      </c>
      <c r="M53">
        <v>14402674</v>
      </c>
      <c r="N53" t="str">
        <f t="shared" si="0"/>
        <v>3rd</v>
      </c>
    </row>
    <row r="54" spans="1:14" x14ac:dyDescent="0.35">
      <c r="A54" t="s">
        <v>65</v>
      </c>
      <c r="B54" t="s">
        <v>169</v>
      </c>
      <c r="C54">
        <v>165529</v>
      </c>
      <c r="D54">
        <v>2020</v>
      </c>
      <c r="E54">
        <v>45986</v>
      </c>
      <c r="F54">
        <v>44720</v>
      </c>
      <c r="G54">
        <v>295</v>
      </c>
      <c r="H54">
        <v>971</v>
      </c>
      <c r="I54">
        <v>137792</v>
      </c>
      <c r="J54">
        <v>97.25</v>
      </c>
      <c r="K54">
        <v>0.64</v>
      </c>
      <c r="L54">
        <v>83.24</v>
      </c>
      <c r="M54">
        <v>496693</v>
      </c>
      <c r="N54" t="str">
        <f t="shared" si="0"/>
        <v>4th</v>
      </c>
    </row>
    <row r="55" spans="1:14" x14ac:dyDescent="0.35">
      <c r="A55" t="s">
        <v>66</v>
      </c>
      <c r="B55" t="s">
        <v>24</v>
      </c>
      <c r="C55">
        <v>1223387</v>
      </c>
      <c r="D55">
        <v>2020</v>
      </c>
      <c r="E55">
        <v>681110</v>
      </c>
      <c r="F55">
        <v>679745</v>
      </c>
      <c r="G55">
        <v>1365</v>
      </c>
      <c r="H55">
        <v>0</v>
      </c>
      <c r="I55">
        <v>1027295</v>
      </c>
      <c r="J55">
        <v>99.8</v>
      </c>
      <c r="K55">
        <v>0.2</v>
      </c>
      <c r="L55">
        <v>83.97</v>
      </c>
      <c r="M55">
        <v>9640118</v>
      </c>
      <c r="N55" t="str">
        <f t="shared" si="0"/>
        <v>3rd</v>
      </c>
    </row>
    <row r="56" spans="1:14" x14ac:dyDescent="0.35">
      <c r="A56" t="s">
        <v>67</v>
      </c>
      <c r="B56" t="s">
        <v>83</v>
      </c>
      <c r="C56">
        <v>10736784</v>
      </c>
      <c r="D56">
        <v>2022</v>
      </c>
      <c r="E56">
        <v>4759041</v>
      </c>
      <c r="F56">
        <v>4715206</v>
      </c>
      <c r="G56">
        <v>43517</v>
      </c>
      <c r="H56">
        <v>318</v>
      </c>
      <c r="I56">
        <v>5293964</v>
      </c>
      <c r="J56">
        <v>99.08</v>
      </c>
      <c r="K56">
        <v>0.91</v>
      </c>
      <c r="L56">
        <v>49.31</v>
      </c>
      <c r="M56">
        <v>57834241</v>
      </c>
      <c r="N56" t="str">
        <f t="shared" si="0"/>
        <v>3rd</v>
      </c>
    </row>
    <row r="57" spans="1:14" x14ac:dyDescent="0.35">
      <c r="A57" t="s">
        <v>68</v>
      </c>
      <c r="B57" t="s">
        <v>24</v>
      </c>
      <c r="C57">
        <v>25990679</v>
      </c>
      <c r="D57">
        <v>2023</v>
      </c>
      <c r="E57">
        <v>4772813</v>
      </c>
      <c r="F57">
        <v>4772739</v>
      </c>
      <c r="G57">
        <v>74</v>
      </c>
      <c r="H57">
        <v>0</v>
      </c>
      <c r="I57">
        <v>16741798</v>
      </c>
      <c r="J57">
        <v>100</v>
      </c>
      <c r="K57">
        <v>0</v>
      </c>
      <c r="L57">
        <v>64.41</v>
      </c>
      <c r="M57">
        <v>2226216</v>
      </c>
      <c r="N57" t="str">
        <f t="shared" si="0"/>
        <v>3rd</v>
      </c>
    </row>
    <row r="58" spans="1:14" x14ac:dyDescent="0.35">
      <c r="A58" t="s">
        <v>69</v>
      </c>
      <c r="B58" t="s">
        <v>14</v>
      </c>
      <c r="C58">
        <v>95240792</v>
      </c>
      <c r="D58">
        <v>2023</v>
      </c>
      <c r="E58">
        <v>99338</v>
      </c>
      <c r="F58">
        <v>84489</v>
      </c>
      <c r="G58">
        <v>1468</v>
      </c>
      <c r="H58">
        <v>13381</v>
      </c>
      <c r="I58">
        <v>70359567</v>
      </c>
      <c r="J58">
        <v>85.05</v>
      </c>
      <c r="K58">
        <v>1.48</v>
      </c>
      <c r="L58">
        <v>73.88</v>
      </c>
      <c r="M58">
        <v>846704</v>
      </c>
      <c r="N58" t="str">
        <f t="shared" si="0"/>
        <v>3rd</v>
      </c>
    </row>
    <row r="59" spans="1:14" x14ac:dyDescent="0.35">
      <c r="A59" t="s">
        <v>70</v>
      </c>
      <c r="B59" t="s">
        <v>83</v>
      </c>
      <c r="C59">
        <v>5834950</v>
      </c>
      <c r="D59">
        <v>2020</v>
      </c>
      <c r="E59">
        <v>3183756</v>
      </c>
      <c r="F59">
        <v>3174942</v>
      </c>
      <c r="G59">
        <v>8814</v>
      </c>
      <c r="H59">
        <v>0</v>
      </c>
      <c r="I59">
        <v>3747470</v>
      </c>
      <c r="J59">
        <v>99.72</v>
      </c>
      <c r="K59">
        <v>0.28000000000000003</v>
      </c>
      <c r="L59">
        <v>64.22</v>
      </c>
      <c r="M59">
        <v>129333107</v>
      </c>
      <c r="N59" t="str">
        <f t="shared" si="0"/>
        <v>3rd</v>
      </c>
    </row>
    <row r="60" spans="1:14" x14ac:dyDescent="0.35">
      <c r="A60" t="s">
        <v>71</v>
      </c>
      <c r="B60" t="s">
        <v>14</v>
      </c>
      <c r="C60">
        <v>5797805</v>
      </c>
      <c r="D60">
        <v>2022</v>
      </c>
      <c r="E60">
        <v>712</v>
      </c>
      <c r="F60">
        <v>699</v>
      </c>
      <c r="G60">
        <v>13</v>
      </c>
      <c r="H60">
        <v>0</v>
      </c>
      <c r="I60">
        <v>2696696</v>
      </c>
      <c r="J60">
        <v>98.17</v>
      </c>
      <c r="K60">
        <v>1.83</v>
      </c>
      <c r="L60">
        <v>46.51</v>
      </c>
      <c r="M60">
        <v>2226216</v>
      </c>
      <c r="N60" t="str">
        <f t="shared" si="0"/>
        <v>5th</v>
      </c>
    </row>
    <row r="61" spans="1:14" x14ac:dyDescent="0.35">
      <c r="A61" t="s">
        <v>72</v>
      </c>
      <c r="B61" t="s">
        <v>14</v>
      </c>
      <c r="C61">
        <v>1016097</v>
      </c>
      <c r="D61">
        <v>2021</v>
      </c>
      <c r="E61">
        <v>15690</v>
      </c>
      <c r="F61">
        <v>15427</v>
      </c>
      <c r="G61">
        <v>189</v>
      </c>
      <c r="H61">
        <v>74</v>
      </c>
      <c r="I61">
        <v>683578</v>
      </c>
      <c r="J61">
        <v>98.32</v>
      </c>
      <c r="K61">
        <v>1.2</v>
      </c>
      <c r="L61">
        <v>67.27</v>
      </c>
      <c r="M61">
        <v>305941</v>
      </c>
      <c r="N61" t="str">
        <f t="shared" si="0"/>
        <v>4th</v>
      </c>
    </row>
    <row r="62" spans="1:14" x14ac:dyDescent="0.35">
      <c r="A62" t="s">
        <v>73</v>
      </c>
      <c r="B62" t="s">
        <v>169</v>
      </c>
      <c r="C62">
        <v>72344</v>
      </c>
      <c r="D62">
        <v>2020</v>
      </c>
      <c r="E62">
        <v>16038</v>
      </c>
      <c r="F62">
        <v>15964</v>
      </c>
      <c r="G62">
        <v>74</v>
      </c>
      <c r="H62">
        <v>0</v>
      </c>
      <c r="I62">
        <v>54002</v>
      </c>
      <c r="J62">
        <v>99.54</v>
      </c>
      <c r="K62">
        <v>0.46</v>
      </c>
      <c r="L62">
        <v>74.650000000000006</v>
      </c>
      <c r="M62">
        <v>229344</v>
      </c>
      <c r="N62" t="str">
        <f t="shared" si="0"/>
        <v>4th</v>
      </c>
    </row>
    <row r="63" spans="1:14" x14ac:dyDescent="0.35">
      <c r="A63" t="s">
        <v>74</v>
      </c>
      <c r="B63" t="s">
        <v>169</v>
      </c>
      <c r="C63">
        <v>11056370</v>
      </c>
      <c r="D63">
        <v>2022</v>
      </c>
      <c r="E63">
        <v>675890</v>
      </c>
      <c r="F63">
        <v>671316</v>
      </c>
      <c r="G63">
        <v>4384</v>
      </c>
      <c r="H63">
        <v>190</v>
      </c>
      <c r="I63">
        <v>8130771</v>
      </c>
      <c r="J63">
        <v>99.32</v>
      </c>
      <c r="K63">
        <v>0.65</v>
      </c>
      <c r="L63">
        <v>73.540000000000006</v>
      </c>
      <c r="M63">
        <v>3740928</v>
      </c>
      <c r="N63" t="str">
        <f t="shared" si="0"/>
        <v>3rd</v>
      </c>
    </row>
    <row r="64" spans="1:14" x14ac:dyDescent="0.35">
      <c r="A64" t="s">
        <v>75</v>
      </c>
      <c r="B64" t="s">
        <v>210</v>
      </c>
      <c r="C64">
        <v>18113361</v>
      </c>
      <c r="D64">
        <v>2021</v>
      </c>
      <c r="E64">
        <v>1070188</v>
      </c>
      <c r="F64">
        <v>1034145</v>
      </c>
      <c r="G64">
        <v>36043</v>
      </c>
      <c r="H64">
        <v>0</v>
      </c>
      <c r="I64">
        <v>14838721</v>
      </c>
      <c r="J64">
        <v>96.63</v>
      </c>
      <c r="K64">
        <v>3.37</v>
      </c>
      <c r="L64">
        <v>81.92</v>
      </c>
      <c r="M64">
        <v>3082403</v>
      </c>
      <c r="N64" t="str">
        <f t="shared" si="0"/>
        <v>3rd</v>
      </c>
    </row>
    <row r="65" spans="1:14" x14ac:dyDescent="0.35">
      <c r="A65" t="s">
        <v>76</v>
      </c>
      <c r="B65" t="s">
        <v>14</v>
      </c>
      <c r="C65">
        <v>106156692</v>
      </c>
      <c r="D65">
        <v>2021</v>
      </c>
      <c r="E65">
        <v>516023</v>
      </c>
      <c r="F65">
        <v>442182</v>
      </c>
      <c r="G65">
        <v>24613</v>
      </c>
      <c r="H65">
        <v>49228</v>
      </c>
      <c r="I65">
        <v>59733824</v>
      </c>
      <c r="J65">
        <v>85.69</v>
      </c>
      <c r="K65">
        <v>4.7699999999999996</v>
      </c>
      <c r="L65">
        <v>56.27</v>
      </c>
      <c r="M65">
        <v>3693367</v>
      </c>
      <c r="N65" t="str">
        <f t="shared" si="0"/>
        <v>3rd</v>
      </c>
    </row>
    <row r="66" spans="1:14" x14ac:dyDescent="0.35">
      <c r="A66" t="s">
        <v>77</v>
      </c>
      <c r="B66" t="s">
        <v>169</v>
      </c>
      <c r="C66">
        <v>6550389</v>
      </c>
      <c r="D66">
        <v>2022</v>
      </c>
      <c r="E66">
        <v>201855</v>
      </c>
      <c r="F66">
        <v>179410</v>
      </c>
      <c r="G66">
        <v>4230</v>
      </c>
      <c r="H66">
        <v>18215</v>
      </c>
      <c r="I66">
        <v>3501415</v>
      </c>
      <c r="J66">
        <v>88.88</v>
      </c>
      <c r="K66">
        <v>2.1</v>
      </c>
      <c r="L66">
        <v>53.45</v>
      </c>
      <c r="M66">
        <v>2610114</v>
      </c>
      <c r="N66" t="str">
        <f t="shared" si="0"/>
        <v>3rd</v>
      </c>
    </row>
    <row r="67" spans="1:14" x14ac:dyDescent="0.35">
      <c r="A67" t="s">
        <v>78</v>
      </c>
      <c r="B67" t="s">
        <v>14</v>
      </c>
      <c r="C67">
        <v>1496662</v>
      </c>
      <c r="D67">
        <v>2021</v>
      </c>
      <c r="E67">
        <v>17229</v>
      </c>
      <c r="F67">
        <v>16907</v>
      </c>
      <c r="G67">
        <v>183</v>
      </c>
      <c r="H67">
        <v>139</v>
      </c>
      <c r="I67">
        <v>934438</v>
      </c>
      <c r="J67">
        <v>98.13</v>
      </c>
      <c r="K67">
        <v>1.06</v>
      </c>
      <c r="L67">
        <v>62.43</v>
      </c>
      <c r="M67">
        <v>365697</v>
      </c>
      <c r="N67" t="str">
        <f t="shared" ref="N67:N130" si="1">IF(E67&gt;=100000000,"1st",IF(E67&gt;=10000000,"2nd",IF(E67&gt;=50000,"3rd",IF(E67&gt;=5000,"4th",IF(E67&lt;=5000,"5th")))))</f>
        <v>4th</v>
      </c>
    </row>
    <row r="68" spans="1:14" x14ac:dyDescent="0.35">
      <c r="A68" t="s">
        <v>79</v>
      </c>
      <c r="B68" t="s">
        <v>14</v>
      </c>
      <c r="C68">
        <v>3662244</v>
      </c>
      <c r="D68">
        <v>2023</v>
      </c>
      <c r="E68">
        <v>10189</v>
      </c>
      <c r="F68">
        <v>10086</v>
      </c>
      <c r="G68">
        <v>103</v>
      </c>
      <c r="H68">
        <v>0</v>
      </c>
      <c r="I68">
        <v>3100827</v>
      </c>
      <c r="J68">
        <v>98.99</v>
      </c>
      <c r="K68">
        <v>1.01</v>
      </c>
      <c r="L68">
        <v>84.67</v>
      </c>
      <c r="M68">
        <v>23693</v>
      </c>
      <c r="N68" t="str">
        <f t="shared" si="1"/>
        <v>4th</v>
      </c>
    </row>
    <row r="69" spans="1:14" x14ac:dyDescent="0.35">
      <c r="A69" t="s">
        <v>80</v>
      </c>
      <c r="B69" t="s">
        <v>83</v>
      </c>
      <c r="C69">
        <v>1321910</v>
      </c>
      <c r="D69">
        <v>2023</v>
      </c>
      <c r="E69">
        <v>628070</v>
      </c>
      <c r="F69">
        <v>235145.5</v>
      </c>
      <c r="G69">
        <v>3001</v>
      </c>
      <c r="H69">
        <v>389924</v>
      </c>
      <c r="I69">
        <v>1039817</v>
      </c>
      <c r="J69">
        <v>37.44</v>
      </c>
      <c r="K69">
        <v>0.48</v>
      </c>
      <c r="L69">
        <v>78.66</v>
      </c>
      <c r="M69">
        <v>6968103</v>
      </c>
      <c r="N69" t="str">
        <f t="shared" si="1"/>
        <v>3rd</v>
      </c>
    </row>
    <row r="70" spans="1:14" x14ac:dyDescent="0.35">
      <c r="A70" t="s">
        <v>81</v>
      </c>
      <c r="B70" t="s">
        <v>14</v>
      </c>
      <c r="C70">
        <v>1184817</v>
      </c>
      <c r="D70">
        <v>2021</v>
      </c>
      <c r="E70">
        <v>75191</v>
      </c>
      <c r="F70">
        <v>73116</v>
      </c>
      <c r="G70">
        <v>1427</v>
      </c>
      <c r="H70">
        <v>648</v>
      </c>
      <c r="I70">
        <v>914240</v>
      </c>
      <c r="J70">
        <v>97.24</v>
      </c>
      <c r="K70">
        <v>1.9</v>
      </c>
      <c r="L70">
        <v>77.16</v>
      </c>
      <c r="M70">
        <v>1048704</v>
      </c>
      <c r="N70" t="str">
        <f t="shared" si="1"/>
        <v>3rd</v>
      </c>
    </row>
    <row r="71" spans="1:14" x14ac:dyDescent="0.35">
      <c r="A71" t="s">
        <v>82</v>
      </c>
      <c r="B71" t="s">
        <v>14</v>
      </c>
      <c r="C71">
        <v>120812698</v>
      </c>
      <c r="D71">
        <v>2023</v>
      </c>
      <c r="E71">
        <v>501157</v>
      </c>
      <c r="F71">
        <v>488171</v>
      </c>
      <c r="G71">
        <v>7574</v>
      </c>
      <c r="H71">
        <v>5412</v>
      </c>
      <c r="I71">
        <v>105836210</v>
      </c>
      <c r="J71">
        <v>97.41</v>
      </c>
      <c r="K71">
        <v>1.51</v>
      </c>
      <c r="L71">
        <v>87.6</v>
      </c>
      <c r="M71">
        <v>5565340</v>
      </c>
      <c r="N71" t="str">
        <f t="shared" si="1"/>
        <v>3rd</v>
      </c>
    </row>
    <row r="72" spans="1:14" x14ac:dyDescent="0.35">
      <c r="A72" t="s">
        <v>83</v>
      </c>
      <c r="B72" t="s">
        <v>83</v>
      </c>
      <c r="C72">
        <v>5797805</v>
      </c>
      <c r="D72">
        <v>2020</v>
      </c>
      <c r="E72">
        <v>253406198</v>
      </c>
      <c r="F72">
        <v>248754104</v>
      </c>
      <c r="G72">
        <v>2101824</v>
      </c>
      <c r="H72">
        <v>2550270</v>
      </c>
      <c r="I72">
        <v>5797805</v>
      </c>
      <c r="J72">
        <v>98.16</v>
      </c>
      <c r="K72">
        <v>0.83</v>
      </c>
      <c r="L72">
        <v>100</v>
      </c>
      <c r="M72">
        <v>2226216</v>
      </c>
      <c r="N72" t="str">
        <f t="shared" si="1"/>
        <v>1st</v>
      </c>
    </row>
    <row r="73" spans="1:14" x14ac:dyDescent="0.35">
      <c r="A73" t="s">
        <v>84</v>
      </c>
      <c r="B73" t="s">
        <v>83</v>
      </c>
      <c r="C73">
        <v>49233</v>
      </c>
      <c r="D73">
        <v>2020</v>
      </c>
      <c r="E73">
        <v>34658</v>
      </c>
      <c r="F73">
        <v>235145.5</v>
      </c>
      <c r="G73">
        <v>28</v>
      </c>
      <c r="H73">
        <v>0</v>
      </c>
      <c r="I73">
        <v>34658</v>
      </c>
      <c r="J73">
        <v>678.47</v>
      </c>
      <c r="K73">
        <v>0.08</v>
      </c>
      <c r="L73">
        <v>70.400000000000006</v>
      </c>
      <c r="M73">
        <v>778000</v>
      </c>
      <c r="N73" t="str">
        <f t="shared" si="1"/>
        <v>4th</v>
      </c>
    </row>
    <row r="74" spans="1:14" x14ac:dyDescent="0.35">
      <c r="A74" t="s">
        <v>85</v>
      </c>
      <c r="B74" t="s">
        <v>210</v>
      </c>
      <c r="C74">
        <v>3539</v>
      </c>
      <c r="D74">
        <v>2020</v>
      </c>
      <c r="E74">
        <v>1930</v>
      </c>
      <c r="F74">
        <v>1930</v>
      </c>
      <c r="G74">
        <v>2570</v>
      </c>
      <c r="H74">
        <v>0</v>
      </c>
      <c r="I74">
        <v>1930</v>
      </c>
      <c r="J74">
        <v>100</v>
      </c>
      <c r="K74">
        <v>133.16</v>
      </c>
      <c r="L74">
        <v>54.54</v>
      </c>
      <c r="M74">
        <v>8632</v>
      </c>
      <c r="N74" t="str">
        <f t="shared" si="1"/>
        <v>5th</v>
      </c>
    </row>
    <row r="75" spans="1:14" x14ac:dyDescent="0.35">
      <c r="A75" t="s">
        <v>86</v>
      </c>
      <c r="B75" t="s">
        <v>172</v>
      </c>
      <c r="C75">
        <v>909466</v>
      </c>
      <c r="D75">
        <v>2020</v>
      </c>
      <c r="E75">
        <v>69117</v>
      </c>
      <c r="F75">
        <v>67226</v>
      </c>
      <c r="G75">
        <v>885</v>
      </c>
      <c r="H75">
        <v>1006</v>
      </c>
      <c r="I75">
        <v>569444</v>
      </c>
      <c r="J75">
        <v>97.26</v>
      </c>
      <c r="K75">
        <v>1.28</v>
      </c>
      <c r="L75">
        <v>62.61</v>
      </c>
      <c r="M75">
        <v>672883</v>
      </c>
      <c r="N75" t="str">
        <f t="shared" si="1"/>
        <v>3rd</v>
      </c>
    </row>
    <row r="76" spans="1:14" x14ac:dyDescent="0.35">
      <c r="A76" t="s">
        <v>87</v>
      </c>
      <c r="B76" t="s">
        <v>83</v>
      </c>
      <c r="C76">
        <v>5554960</v>
      </c>
      <c r="D76">
        <v>2022</v>
      </c>
      <c r="E76">
        <v>1516117</v>
      </c>
      <c r="F76">
        <v>1503989</v>
      </c>
      <c r="G76">
        <v>11958</v>
      </c>
      <c r="H76">
        <v>170</v>
      </c>
      <c r="I76">
        <v>3672191</v>
      </c>
      <c r="J76">
        <v>99.2</v>
      </c>
      <c r="K76">
        <v>0.79</v>
      </c>
      <c r="L76">
        <v>66.11</v>
      </c>
      <c r="M76">
        <v>12108977</v>
      </c>
      <c r="N76" t="str">
        <f t="shared" si="1"/>
        <v>3rd</v>
      </c>
    </row>
    <row r="77" spans="1:14" x14ac:dyDescent="0.35">
      <c r="A77" t="s">
        <v>88</v>
      </c>
      <c r="B77" t="s">
        <v>83</v>
      </c>
      <c r="C77">
        <v>65584518</v>
      </c>
      <c r="D77">
        <v>2020</v>
      </c>
      <c r="E77">
        <v>40138560</v>
      </c>
      <c r="F77">
        <v>39970918</v>
      </c>
      <c r="G77">
        <v>167642</v>
      </c>
      <c r="H77">
        <v>0</v>
      </c>
      <c r="I77">
        <v>54764444</v>
      </c>
      <c r="J77">
        <v>99.58</v>
      </c>
      <c r="K77">
        <v>0.42</v>
      </c>
      <c r="L77">
        <v>83.5</v>
      </c>
      <c r="M77">
        <v>271490188</v>
      </c>
      <c r="N77" t="str">
        <f t="shared" si="1"/>
        <v>2nd</v>
      </c>
    </row>
    <row r="78" spans="1:14" x14ac:dyDescent="0.35">
      <c r="A78" t="s">
        <v>89</v>
      </c>
      <c r="B78" t="s">
        <v>210</v>
      </c>
      <c r="C78">
        <v>314169</v>
      </c>
      <c r="D78">
        <v>2023</v>
      </c>
      <c r="E78">
        <v>98041</v>
      </c>
      <c r="F78">
        <v>11254</v>
      </c>
      <c r="G78">
        <v>420</v>
      </c>
      <c r="H78">
        <v>86367</v>
      </c>
      <c r="I78">
        <v>291103</v>
      </c>
      <c r="J78">
        <v>11.48</v>
      </c>
      <c r="K78">
        <v>0.43</v>
      </c>
      <c r="L78">
        <v>92.66</v>
      </c>
      <c r="M78">
        <v>651257</v>
      </c>
      <c r="N78" t="str">
        <f t="shared" si="1"/>
        <v>3rd</v>
      </c>
    </row>
    <row r="79" spans="1:14" x14ac:dyDescent="0.35">
      <c r="A79" t="s">
        <v>90</v>
      </c>
      <c r="B79" t="s">
        <v>172</v>
      </c>
      <c r="C79">
        <v>284164</v>
      </c>
      <c r="D79">
        <v>2023</v>
      </c>
      <c r="E79">
        <v>79254</v>
      </c>
      <c r="F79">
        <v>235145.5</v>
      </c>
      <c r="G79">
        <v>650</v>
      </c>
      <c r="H79">
        <v>0</v>
      </c>
      <c r="I79">
        <v>206443</v>
      </c>
      <c r="J79">
        <v>296.7</v>
      </c>
      <c r="K79">
        <v>0.82</v>
      </c>
      <c r="L79">
        <v>72.650000000000006</v>
      </c>
      <c r="M79">
        <v>2226216</v>
      </c>
      <c r="N79" t="str">
        <f t="shared" si="1"/>
        <v>3rd</v>
      </c>
    </row>
    <row r="80" spans="1:14" x14ac:dyDescent="0.35">
      <c r="A80" t="s">
        <v>91</v>
      </c>
      <c r="B80" t="s">
        <v>14</v>
      </c>
      <c r="C80">
        <v>2331533</v>
      </c>
      <c r="D80">
        <v>2022</v>
      </c>
      <c r="E80">
        <v>49051</v>
      </c>
      <c r="F80">
        <v>48674</v>
      </c>
      <c r="G80">
        <v>307</v>
      </c>
      <c r="H80">
        <v>70</v>
      </c>
      <c r="I80">
        <v>1981332</v>
      </c>
      <c r="J80">
        <v>99.23</v>
      </c>
      <c r="K80">
        <v>0.63</v>
      </c>
      <c r="L80">
        <v>84.98</v>
      </c>
      <c r="M80">
        <v>1621909</v>
      </c>
      <c r="N80" t="str">
        <f t="shared" si="1"/>
        <v>4th</v>
      </c>
    </row>
    <row r="81" spans="1:14" x14ac:dyDescent="0.35">
      <c r="A81" t="s">
        <v>92</v>
      </c>
      <c r="B81" t="s">
        <v>14</v>
      </c>
      <c r="C81">
        <v>2558482</v>
      </c>
      <c r="D81">
        <v>2021</v>
      </c>
      <c r="E81">
        <v>12626</v>
      </c>
      <c r="F81">
        <v>12189</v>
      </c>
      <c r="G81">
        <v>372</v>
      </c>
      <c r="H81">
        <v>65</v>
      </c>
      <c r="I81">
        <v>1656023</v>
      </c>
      <c r="J81">
        <v>96.54</v>
      </c>
      <c r="K81">
        <v>2.95</v>
      </c>
      <c r="L81">
        <v>64.73</v>
      </c>
      <c r="M81">
        <v>155686</v>
      </c>
      <c r="N81" t="str">
        <f t="shared" si="1"/>
        <v>4th</v>
      </c>
    </row>
    <row r="82" spans="1:14" x14ac:dyDescent="0.35">
      <c r="A82" t="s">
        <v>93</v>
      </c>
      <c r="B82" t="s">
        <v>24</v>
      </c>
      <c r="C82">
        <v>3968738</v>
      </c>
      <c r="D82">
        <v>2023</v>
      </c>
      <c r="E82">
        <v>1861665</v>
      </c>
      <c r="F82">
        <v>235145.5</v>
      </c>
      <c r="G82">
        <v>17132</v>
      </c>
      <c r="H82">
        <v>1609388</v>
      </c>
      <c r="I82">
        <v>2844160</v>
      </c>
      <c r="J82">
        <v>12.63</v>
      </c>
      <c r="K82">
        <v>0.92</v>
      </c>
      <c r="L82">
        <v>71.66</v>
      </c>
      <c r="M82">
        <v>16920079</v>
      </c>
      <c r="N82" t="str">
        <f t="shared" si="1"/>
        <v>3rd</v>
      </c>
    </row>
    <row r="83" spans="1:14" x14ac:dyDescent="0.35">
      <c r="A83" t="s">
        <v>94</v>
      </c>
      <c r="B83" t="s">
        <v>83</v>
      </c>
      <c r="C83">
        <v>83883596</v>
      </c>
      <c r="D83">
        <v>2022</v>
      </c>
      <c r="E83">
        <v>38828995</v>
      </c>
      <c r="F83">
        <v>38240600</v>
      </c>
      <c r="G83">
        <v>183027</v>
      </c>
      <c r="H83">
        <v>405368</v>
      </c>
      <c r="I83">
        <v>44041151</v>
      </c>
      <c r="J83">
        <v>98.48</v>
      </c>
      <c r="K83">
        <v>0.47</v>
      </c>
      <c r="L83">
        <v>52.5</v>
      </c>
      <c r="M83">
        <v>122332384</v>
      </c>
      <c r="N83" t="str">
        <f t="shared" si="1"/>
        <v>2nd</v>
      </c>
    </row>
    <row r="84" spans="1:14" x14ac:dyDescent="0.35">
      <c r="A84" t="s">
        <v>95</v>
      </c>
      <c r="B84" t="s">
        <v>14</v>
      </c>
      <c r="C84">
        <v>32395450</v>
      </c>
      <c r="D84">
        <v>2021</v>
      </c>
      <c r="E84">
        <v>171889</v>
      </c>
      <c r="F84">
        <v>170425</v>
      </c>
      <c r="G84">
        <v>1462</v>
      </c>
      <c r="H84">
        <v>2</v>
      </c>
      <c r="I84">
        <v>29690653</v>
      </c>
      <c r="J84">
        <v>99.15</v>
      </c>
      <c r="K84">
        <v>0.85</v>
      </c>
      <c r="L84">
        <v>91.65</v>
      </c>
      <c r="M84">
        <v>2541625</v>
      </c>
      <c r="N84" t="str">
        <f t="shared" si="1"/>
        <v>3rd</v>
      </c>
    </row>
    <row r="85" spans="1:14" x14ac:dyDescent="0.35">
      <c r="A85" t="s">
        <v>96</v>
      </c>
      <c r="B85" t="s">
        <v>83</v>
      </c>
      <c r="C85">
        <v>33704</v>
      </c>
      <c r="D85">
        <v>2021</v>
      </c>
      <c r="E85">
        <v>20550</v>
      </c>
      <c r="F85">
        <v>235145.5</v>
      </c>
      <c r="G85">
        <v>113</v>
      </c>
      <c r="H85">
        <v>0</v>
      </c>
      <c r="I85">
        <v>22186</v>
      </c>
      <c r="J85">
        <v>1144.26</v>
      </c>
      <c r="K85">
        <v>0.55000000000000004</v>
      </c>
      <c r="L85">
        <v>65.83</v>
      </c>
      <c r="M85">
        <v>534283</v>
      </c>
      <c r="N85" t="str">
        <f t="shared" si="1"/>
        <v>4th</v>
      </c>
    </row>
    <row r="86" spans="1:14" x14ac:dyDescent="0.35">
      <c r="A86" t="s">
        <v>97</v>
      </c>
      <c r="B86" t="s">
        <v>83</v>
      </c>
      <c r="C86">
        <v>10316637</v>
      </c>
      <c r="D86">
        <v>2021</v>
      </c>
      <c r="E86">
        <v>6101379</v>
      </c>
      <c r="F86">
        <v>235145.5</v>
      </c>
      <c r="G86">
        <v>37869</v>
      </c>
      <c r="H86">
        <v>5828364</v>
      </c>
      <c r="I86">
        <v>6101379</v>
      </c>
      <c r="J86">
        <v>3.85</v>
      </c>
      <c r="K86">
        <v>0.62</v>
      </c>
      <c r="L86">
        <v>59.14</v>
      </c>
      <c r="M86">
        <v>102228365</v>
      </c>
      <c r="N86" t="str">
        <f t="shared" si="1"/>
        <v>3rd</v>
      </c>
    </row>
    <row r="87" spans="1:14" x14ac:dyDescent="0.35">
      <c r="A87" t="s">
        <v>98</v>
      </c>
      <c r="B87" t="s">
        <v>169</v>
      </c>
      <c r="C87">
        <v>56973</v>
      </c>
      <c r="D87">
        <v>2020</v>
      </c>
      <c r="E87">
        <v>11971</v>
      </c>
      <c r="F87">
        <v>2761</v>
      </c>
      <c r="G87">
        <v>21</v>
      </c>
      <c r="H87">
        <v>9189</v>
      </c>
      <c r="I87">
        <v>42616</v>
      </c>
      <c r="J87">
        <v>23.06</v>
      </c>
      <c r="K87">
        <v>0.18</v>
      </c>
      <c r="L87">
        <v>74.8</v>
      </c>
      <c r="M87">
        <v>164926</v>
      </c>
      <c r="N87" t="str">
        <f t="shared" si="1"/>
        <v>4th</v>
      </c>
    </row>
    <row r="88" spans="1:14" x14ac:dyDescent="0.35">
      <c r="A88" t="s">
        <v>99</v>
      </c>
      <c r="B88" t="s">
        <v>169</v>
      </c>
      <c r="C88">
        <v>113475</v>
      </c>
      <c r="D88">
        <v>2023</v>
      </c>
      <c r="E88">
        <v>19693</v>
      </c>
      <c r="F88">
        <v>19358</v>
      </c>
      <c r="G88">
        <v>238</v>
      </c>
      <c r="H88">
        <v>97</v>
      </c>
      <c r="I88">
        <v>79255</v>
      </c>
      <c r="J88">
        <v>98.3</v>
      </c>
      <c r="K88">
        <v>1.21</v>
      </c>
      <c r="L88">
        <v>69.84</v>
      </c>
      <c r="M88">
        <v>182981</v>
      </c>
      <c r="N88" t="str">
        <f t="shared" si="1"/>
        <v>4th</v>
      </c>
    </row>
    <row r="89" spans="1:14" x14ac:dyDescent="0.35">
      <c r="A89" t="s">
        <v>100</v>
      </c>
      <c r="B89" t="s">
        <v>169</v>
      </c>
      <c r="C89">
        <v>399794</v>
      </c>
      <c r="D89">
        <v>2022</v>
      </c>
      <c r="E89">
        <v>203235</v>
      </c>
      <c r="F89">
        <v>235145.5</v>
      </c>
      <c r="G89">
        <v>1021</v>
      </c>
      <c r="H89">
        <v>0</v>
      </c>
      <c r="I89">
        <v>203235</v>
      </c>
      <c r="J89">
        <v>115.7</v>
      </c>
      <c r="K89">
        <v>0.5</v>
      </c>
      <c r="L89">
        <v>50.83</v>
      </c>
      <c r="M89">
        <v>938039</v>
      </c>
      <c r="N89" t="str">
        <f t="shared" si="1"/>
        <v>3rd</v>
      </c>
    </row>
    <row r="90" spans="1:14" x14ac:dyDescent="0.35">
      <c r="A90" t="s">
        <v>101</v>
      </c>
      <c r="B90" t="s">
        <v>169</v>
      </c>
      <c r="C90">
        <v>18584039</v>
      </c>
      <c r="D90">
        <v>2023</v>
      </c>
      <c r="E90">
        <v>1291293</v>
      </c>
      <c r="F90">
        <v>1269891</v>
      </c>
      <c r="G90">
        <v>20289</v>
      </c>
      <c r="H90">
        <v>1113</v>
      </c>
      <c r="I90">
        <v>12185115</v>
      </c>
      <c r="J90">
        <v>98.34</v>
      </c>
      <c r="K90">
        <v>1.57</v>
      </c>
      <c r="L90">
        <v>65.569999999999993</v>
      </c>
      <c r="M90">
        <v>7593848</v>
      </c>
      <c r="N90" t="str">
        <f t="shared" si="1"/>
        <v>3rd</v>
      </c>
    </row>
    <row r="91" spans="1:14" x14ac:dyDescent="0.35">
      <c r="A91" t="s">
        <v>102</v>
      </c>
      <c r="B91" t="s">
        <v>14</v>
      </c>
      <c r="C91">
        <v>13865691</v>
      </c>
      <c r="D91">
        <v>2020</v>
      </c>
      <c r="E91">
        <v>38572</v>
      </c>
      <c r="F91">
        <v>37757</v>
      </c>
      <c r="G91">
        <v>468</v>
      </c>
      <c r="H91">
        <v>347</v>
      </c>
      <c r="I91">
        <v>8463086</v>
      </c>
      <c r="J91">
        <v>97.89</v>
      </c>
      <c r="K91">
        <v>1.21</v>
      </c>
      <c r="L91">
        <v>61.04</v>
      </c>
      <c r="M91">
        <v>660107</v>
      </c>
      <c r="N91" t="str">
        <f t="shared" si="1"/>
        <v>4th</v>
      </c>
    </row>
    <row r="92" spans="1:14" x14ac:dyDescent="0.35">
      <c r="A92" t="s">
        <v>103</v>
      </c>
      <c r="B92" t="s">
        <v>14</v>
      </c>
      <c r="C92">
        <v>2063367</v>
      </c>
      <c r="D92">
        <v>2020</v>
      </c>
      <c r="E92">
        <v>9614</v>
      </c>
      <c r="F92">
        <v>8929</v>
      </c>
      <c r="G92">
        <v>177</v>
      </c>
      <c r="H92">
        <v>508</v>
      </c>
      <c r="I92">
        <v>1013875</v>
      </c>
      <c r="J92">
        <v>92.87</v>
      </c>
      <c r="K92">
        <v>1.84</v>
      </c>
      <c r="L92">
        <v>49.14</v>
      </c>
      <c r="M92">
        <v>145231</v>
      </c>
      <c r="N92" t="str">
        <f t="shared" si="1"/>
        <v>4th</v>
      </c>
    </row>
    <row r="93" spans="1:14" x14ac:dyDescent="0.35">
      <c r="A93" t="s">
        <v>104</v>
      </c>
      <c r="B93" t="s">
        <v>210</v>
      </c>
      <c r="C93">
        <v>794045</v>
      </c>
      <c r="D93">
        <v>2022</v>
      </c>
      <c r="E93">
        <v>74137</v>
      </c>
      <c r="F93">
        <v>72013</v>
      </c>
      <c r="G93">
        <v>1300</v>
      </c>
      <c r="H93">
        <v>824</v>
      </c>
      <c r="I93">
        <v>750652</v>
      </c>
      <c r="J93">
        <v>97.14</v>
      </c>
      <c r="K93">
        <v>1.75</v>
      </c>
      <c r="L93">
        <v>94.54</v>
      </c>
      <c r="M93">
        <v>733218</v>
      </c>
      <c r="N93" t="str">
        <f t="shared" si="1"/>
        <v>3rd</v>
      </c>
    </row>
    <row r="94" spans="1:14" x14ac:dyDescent="0.35">
      <c r="A94" t="s">
        <v>105</v>
      </c>
      <c r="B94" t="s">
        <v>169</v>
      </c>
      <c r="C94">
        <v>11680283</v>
      </c>
      <c r="D94">
        <v>2023</v>
      </c>
      <c r="E94">
        <v>34667</v>
      </c>
      <c r="F94">
        <v>33734</v>
      </c>
      <c r="G94">
        <v>860</v>
      </c>
      <c r="H94">
        <v>73</v>
      </c>
      <c r="I94">
        <v>9535807</v>
      </c>
      <c r="J94">
        <v>97.31</v>
      </c>
      <c r="K94">
        <v>2.48</v>
      </c>
      <c r="L94">
        <v>81.64</v>
      </c>
      <c r="M94">
        <v>132422</v>
      </c>
      <c r="N94" t="str">
        <f t="shared" si="1"/>
        <v>4th</v>
      </c>
    </row>
    <row r="95" spans="1:14" x14ac:dyDescent="0.35">
      <c r="A95" t="s">
        <v>106</v>
      </c>
      <c r="B95" t="s">
        <v>169</v>
      </c>
      <c r="C95">
        <v>10221247</v>
      </c>
      <c r="D95">
        <v>2023</v>
      </c>
      <c r="E95">
        <v>474590</v>
      </c>
      <c r="F95">
        <v>235145.5</v>
      </c>
      <c r="G95">
        <v>11165</v>
      </c>
      <c r="H95">
        <v>228280</v>
      </c>
      <c r="I95">
        <v>7163142</v>
      </c>
      <c r="J95">
        <v>49.55</v>
      </c>
      <c r="K95">
        <v>2.35</v>
      </c>
      <c r="L95">
        <v>70.08</v>
      </c>
      <c r="M95">
        <v>1660662</v>
      </c>
      <c r="N95" t="str">
        <f t="shared" si="1"/>
        <v>3rd</v>
      </c>
    </row>
    <row r="96" spans="1:14" x14ac:dyDescent="0.35">
      <c r="A96" t="s">
        <v>107</v>
      </c>
      <c r="B96" t="s">
        <v>24</v>
      </c>
      <c r="C96">
        <v>7604299</v>
      </c>
      <c r="D96">
        <v>2023</v>
      </c>
      <c r="E96">
        <v>2937609</v>
      </c>
      <c r="F96">
        <v>2916005</v>
      </c>
      <c r="G96">
        <v>14924</v>
      </c>
      <c r="H96">
        <v>6680</v>
      </c>
      <c r="I96">
        <v>7095685</v>
      </c>
      <c r="J96">
        <v>99.26</v>
      </c>
      <c r="K96">
        <v>0.51</v>
      </c>
      <c r="L96">
        <v>93.31</v>
      </c>
      <c r="M96">
        <v>76127725</v>
      </c>
      <c r="N96" t="str">
        <f t="shared" si="1"/>
        <v>3rd</v>
      </c>
    </row>
    <row r="97" spans="1:14" x14ac:dyDescent="0.35">
      <c r="A97" t="s">
        <v>108</v>
      </c>
      <c r="B97" t="s">
        <v>83</v>
      </c>
      <c r="C97">
        <v>9606259</v>
      </c>
      <c r="D97">
        <v>2022</v>
      </c>
      <c r="E97">
        <v>2230232</v>
      </c>
      <c r="F97">
        <v>2152155</v>
      </c>
      <c r="G97">
        <v>49048</v>
      </c>
      <c r="H97">
        <v>29029</v>
      </c>
      <c r="I97">
        <v>5083476</v>
      </c>
      <c r="J97">
        <v>96.5</v>
      </c>
      <c r="K97">
        <v>2.2000000000000002</v>
      </c>
      <c r="L97">
        <v>52.92</v>
      </c>
      <c r="M97">
        <v>11394556</v>
      </c>
      <c r="N97" t="str">
        <f t="shared" si="1"/>
        <v>3rd</v>
      </c>
    </row>
    <row r="98" spans="1:14" x14ac:dyDescent="0.35">
      <c r="A98" t="s">
        <v>109</v>
      </c>
      <c r="B98" t="s">
        <v>83</v>
      </c>
      <c r="C98">
        <v>345393</v>
      </c>
      <c r="D98">
        <v>2023</v>
      </c>
      <c r="E98">
        <v>209906</v>
      </c>
      <c r="F98">
        <v>235145.5</v>
      </c>
      <c r="G98">
        <v>229</v>
      </c>
      <c r="H98">
        <v>0</v>
      </c>
      <c r="I98">
        <v>209906</v>
      </c>
      <c r="J98">
        <v>112.02</v>
      </c>
      <c r="K98">
        <v>0.11</v>
      </c>
      <c r="L98">
        <v>60.77</v>
      </c>
      <c r="M98">
        <v>1996384</v>
      </c>
      <c r="N98" t="str">
        <f t="shared" si="1"/>
        <v>3rd</v>
      </c>
    </row>
    <row r="99" spans="1:14" x14ac:dyDescent="0.35">
      <c r="A99" t="s">
        <v>110</v>
      </c>
      <c r="B99" t="s">
        <v>24</v>
      </c>
      <c r="C99">
        <v>1406631776</v>
      </c>
      <c r="D99">
        <v>2021</v>
      </c>
      <c r="E99">
        <v>45035393</v>
      </c>
      <c r="F99">
        <v>235145.5</v>
      </c>
      <c r="G99">
        <v>533570</v>
      </c>
      <c r="H99">
        <v>44266678</v>
      </c>
      <c r="I99">
        <v>1117553948</v>
      </c>
      <c r="J99">
        <v>0.52</v>
      </c>
      <c r="K99">
        <v>1.18</v>
      </c>
      <c r="L99">
        <v>79.45</v>
      </c>
      <c r="M99">
        <v>935879495</v>
      </c>
      <c r="N99" t="str">
        <f t="shared" si="1"/>
        <v>2nd</v>
      </c>
    </row>
    <row r="100" spans="1:14" x14ac:dyDescent="0.35">
      <c r="A100" t="s">
        <v>111</v>
      </c>
      <c r="B100" t="s">
        <v>24</v>
      </c>
      <c r="C100">
        <v>279134505</v>
      </c>
      <c r="D100">
        <v>2020</v>
      </c>
      <c r="E100">
        <v>6829221</v>
      </c>
      <c r="F100">
        <v>6647104</v>
      </c>
      <c r="G100">
        <v>162063</v>
      </c>
      <c r="H100">
        <v>20054</v>
      </c>
      <c r="I100">
        <v>158093782</v>
      </c>
      <c r="J100">
        <v>97.33</v>
      </c>
      <c r="K100">
        <v>2.37</v>
      </c>
      <c r="L100">
        <v>56.64</v>
      </c>
      <c r="M100">
        <v>114158919</v>
      </c>
      <c r="N100" t="str">
        <f t="shared" si="1"/>
        <v>3rd</v>
      </c>
    </row>
    <row r="101" spans="1:14" x14ac:dyDescent="0.35">
      <c r="A101" t="s">
        <v>112</v>
      </c>
      <c r="B101" t="s">
        <v>24</v>
      </c>
      <c r="C101">
        <v>86022837</v>
      </c>
      <c r="D101">
        <v>2020</v>
      </c>
      <c r="E101">
        <v>7627186</v>
      </c>
      <c r="F101">
        <v>235145.5</v>
      </c>
      <c r="G101">
        <v>146811</v>
      </c>
      <c r="H101">
        <v>7245230</v>
      </c>
      <c r="I101">
        <v>73586424</v>
      </c>
      <c r="J101">
        <v>3.08</v>
      </c>
      <c r="K101">
        <v>1.92</v>
      </c>
      <c r="L101">
        <v>85.54</v>
      </c>
      <c r="M101">
        <v>57320267</v>
      </c>
      <c r="N101" t="str">
        <f t="shared" si="1"/>
        <v>3rd</v>
      </c>
    </row>
    <row r="102" spans="1:14" x14ac:dyDescent="0.35">
      <c r="A102" t="s">
        <v>113</v>
      </c>
      <c r="B102" t="s">
        <v>24</v>
      </c>
      <c r="C102">
        <v>42164965</v>
      </c>
      <c r="D102">
        <v>2022</v>
      </c>
      <c r="E102">
        <v>2465545</v>
      </c>
      <c r="F102">
        <v>2439497</v>
      </c>
      <c r="G102">
        <v>25375</v>
      </c>
      <c r="H102">
        <v>673</v>
      </c>
      <c r="I102">
        <v>24422731</v>
      </c>
      <c r="J102">
        <v>98.94</v>
      </c>
      <c r="K102">
        <v>1.03</v>
      </c>
      <c r="L102">
        <v>57.92</v>
      </c>
      <c r="M102">
        <v>19544451</v>
      </c>
      <c r="N102" t="str">
        <f t="shared" si="1"/>
        <v>3rd</v>
      </c>
    </row>
    <row r="103" spans="1:14" x14ac:dyDescent="0.35">
      <c r="A103" t="s">
        <v>114</v>
      </c>
      <c r="B103" t="s">
        <v>83</v>
      </c>
      <c r="C103">
        <v>5020199</v>
      </c>
      <c r="D103">
        <v>2022</v>
      </c>
      <c r="E103">
        <v>1734582</v>
      </c>
      <c r="F103">
        <v>1724921</v>
      </c>
      <c r="G103">
        <v>9491</v>
      </c>
      <c r="H103">
        <v>170</v>
      </c>
      <c r="I103">
        <v>4737030</v>
      </c>
      <c r="J103">
        <v>99.44</v>
      </c>
      <c r="K103">
        <v>0.55000000000000004</v>
      </c>
      <c r="L103">
        <v>94.36</v>
      </c>
      <c r="M103">
        <v>13083449</v>
      </c>
      <c r="N103" t="str">
        <f t="shared" si="1"/>
        <v>3rd</v>
      </c>
    </row>
    <row r="104" spans="1:14" x14ac:dyDescent="0.35">
      <c r="A104" t="s">
        <v>115</v>
      </c>
      <c r="B104" t="s">
        <v>83</v>
      </c>
      <c r="C104">
        <v>85732</v>
      </c>
      <c r="D104">
        <v>2022</v>
      </c>
      <c r="E104">
        <v>38008</v>
      </c>
      <c r="F104">
        <v>235145.5</v>
      </c>
      <c r="G104">
        <v>116</v>
      </c>
      <c r="H104">
        <v>0</v>
      </c>
      <c r="I104">
        <v>65914</v>
      </c>
      <c r="J104">
        <v>618.66999999999996</v>
      </c>
      <c r="K104">
        <v>0.31</v>
      </c>
      <c r="L104">
        <v>76.88</v>
      </c>
      <c r="M104">
        <v>150753</v>
      </c>
      <c r="N104" t="str">
        <f t="shared" si="1"/>
        <v>4th</v>
      </c>
    </row>
    <row r="105" spans="1:14" x14ac:dyDescent="0.35">
      <c r="A105" t="s">
        <v>116</v>
      </c>
      <c r="B105" t="s">
        <v>24</v>
      </c>
      <c r="C105">
        <v>9326000</v>
      </c>
      <c r="D105">
        <v>2022</v>
      </c>
      <c r="E105">
        <v>4841772</v>
      </c>
      <c r="F105">
        <v>4798473</v>
      </c>
      <c r="G105">
        <v>12707</v>
      </c>
      <c r="H105">
        <v>30592</v>
      </c>
      <c r="I105">
        <v>6935040</v>
      </c>
      <c r="J105">
        <v>99.11</v>
      </c>
      <c r="K105">
        <v>0.26</v>
      </c>
      <c r="L105">
        <v>74.36</v>
      </c>
      <c r="M105">
        <v>41373364</v>
      </c>
      <c r="N105" t="str">
        <f t="shared" si="1"/>
        <v>3rd</v>
      </c>
    </row>
    <row r="106" spans="1:14" x14ac:dyDescent="0.35">
      <c r="A106" t="s">
        <v>117</v>
      </c>
      <c r="B106" t="s">
        <v>83</v>
      </c>
      <c r="C106">
        <v>60262770</v>
      </c>
      <c r="D106">
        <v>2022</v>
      </c>
      <c r="E106">
        <v>26723249</v>
      </c>
      <c r="F106">
        <v>26361218</v>
      </c>
      <c r="G106">
        <v>196487</v>
      </c>
      <c r="H106">
        <v>165544</v>
      </c>
      <c r="I106">
        <v>40069839</v>
      </c>
      <c r="J106">
        <v>98.65</v>
      </c>
      <c r="K106">
        <v>0.74</v>
      </c>
      <c r="L106">
        <v>66.489999999999995</v>
      </c>
      <c r="M106">
        <v>281126449</v>
      </c>
      <c r="N106" t="str">
        <f t="shared" si="1"/>
        <v>2nd</v>
      </c>
    </row>
    <row r="107" spans="1:14" x14ac:dyDescent="0.35">
      <c r="A107" t="s">
        <v>118</v>
      </c>
      <c r="B107" t="s">
        <v>14</v>
      </c>
      <c r="C107">
        <v>27742298</v>
      </c>
      <c r="D107">
        <v>2020</v>
      </c>
      <c r="E107">
        <v>88384</v>
      </c>
      <c r="F107">
        <v>87497</v>
      </c>
      <c r="G107">
        <v>835</v>
      </c>
      <c r="H107">
        <v>52</v>
      </c>
      <c r="I107">
        <v>20026238</v>
      </c>
      <c r="J107">
        <v>99</v>
      </c>
      <c r="K107">
        <v>0.94</v>
      </c>
      <c r="L107">
        <v>72.19</v>
      </c>
      <c r="M107">
        <v>1690934</v>
      </c>
      <c r="N107" t="str">
        <f t="shared" si="1"/>
        <v>3rd</v>
      </c>
    </row>
    <row r="108" spans="1:14" x14ac:dyDescent="0.35">
      <c r="A108" t="s">
        <v>119</v>
      </c>
      <c r="B108" t="s">
        <v>169</v>
      </c>
      <c r="C108">
        <v>2985094</v>
      </c>
      <c r="D108">
        <v>2021</v>
      </c>
      <c r="E108">
        <v>156869</v>
      </c>
      <c r="F108">
        <v>235145.5</v>
      </c>
      <c r="G108">
        <v>3756</v>
      </c>
      <c r="H108">
        <v>0</v>
      </c>
      <c r="I108">
        <v>2217395</v>
      </c>
      <c r="J108">
        <v>149.9</v>
      </c>
      <c r="K108">
        <v>2.39</v>
      </c>
      <c r="L108">
        <v>74.28</v>
      </c>
      <c r="M108">
        <v>1183986</v>
      </c>
      <c r="N108" t="str">
        <f t="shared" si="1"/>
        <v>3rd</v>
      </c>
    </row>
    <row r="109" spans="1:14" x14ac:dyDescent="0.35">
      <c r="A109" t="s">
        <v>120</v>
      </c>
      <c r="B109" t="s">
        <v>24</v>
      </c>
      <c r="C109">
        <v>125584838</v>
      </c>
      <c r="D109">
        <v>2020</v>
      </c>
      <c r="E109">
        <v>33803572</v>
      </c>
      <c r="F109">
        <v>235145.5</v>
      </c>
      <c r="G109">
        <v>74694</v>
      </c>
      <c r="H109">
        <v>33493732</v>
      </c>
      <c r="I109">
        <v>69565094</v>
      </c>
      <c r="J109">
        <v>0.7</v>
      </c>
      <c r="K109">
        <v>0.22</v>
      </c>
      <c r="L109">
        <v>55.39</v>
      </c>
      <c r="M109">
        <v>100414883</v>
      </c>
      <c r="N109" t="str">
        <f t="shared" si="1"/>
        <v>2nd</v>
      </c>
    </row>
    <row r="110" spans="1:14" x14ac:dyDescent="0.35">
      <c r="A110" t="s">
        <v>121</v>
      </c>
      <c r="B110" t="s">
        <v>24</v>
      </c>
      <c r="C110">
        <v>10300869</v>
      </c>
      <c r="D110">
        <v>2021</v>
      </c>
      <c r="E110">
        <v>1746997</v>
      </c>
      <c r="F110">
        <v>1731007</v>
      </c>
      <c r="G110">
        <v>14122</v>
      </c>
      <c r="H110">
        <v>1868</v>
      </c>
      <c r="I110">
        <v>7677272</v>
      </c>
      <c r="J110">
        <v>99.08</v>
      </c>
      <c r="K110">
        <v>0.81</v>
      </c>
      <c r="L110">
        <v>74.53</v>
      </c>
      <c r="M110">
        <v>17201885</v>
      </c>
      <c r="N110" t="str">
        <f t="shared" si="1"/>
        <v>3rd</v>
      </c>
    </row>
    <row r="111" spans="1:14" x14ac:dyDescent="0.35">
      <c r="A111" t="s">
        <v>122</v>
      </c>
      <c r="B111" t="s">
        <v>24</v>
      </c>
      <c r="C111">
        <v>19205043</v>
      </c>
      <c r="D111">
        <v>2022</v>
      </c>
      <c r="E111">
        <v>1411831</v>
      </c>
      <c r="F111">
        <v>1383020</v>
      </c>
      <c r="G111">
        <v>13848</v>
      </c>
      <c r="H111">
        <v>14963</v>
      </c>
      <c r="I111">
        <v>16559986</v>
      </c>
      <c r="J111">
        <v>97.96</v>
      </c>
      <c r="K111">
        <v>0.98</v>
      </c>
      <c r="L111">
        <v>86.23</v>
      </c>
      <c r="M111">
        <v>11575012</v>
      </c>
      <c r="N111" t="str">
        <f t="shared" si="1"/>
        <v>3rd</v>
      </c>
    </row>
    <row r="112" spans="1:14" x14ac:dyDescent="0.35">
      <c r="A112" t="s">
        <v>123</v>
      </c>
      <c r="B112" t="s">
        <v>14</v>
      </c>
      <c r="C112">
        <v>56215221</v>
      </c>
      <c r="D112">
        <v>2020</v>
      </c>
      <c r="E112">
        <v>344130</v>
      </c>
      <c r="F112">
        <v>337309</v>
      </c>
      <c r="G112">
        <v>5689</v>
      </c>
      <c r="H112">
        <v>1132</v>
      </c>
      <c r="I112">
        <v>48259195</v>
      </c>
      <c r="J112">
        <v>98.02</v>
      </c>
      <c r="K112">
        <v>1.65</v>
      </c>
      <c r="L112">
        <v>85.85</v>
      </c>
      <c r="M112">
        <v>3967062</v>
      </c>
      <c r="N112" t="str">
        <f t="shared" si="1"/>
        <v>3rd</v>
      </c>
    </row>
    <row r="113" spans="1:14" x14ac:dyDescent="0.35">
      <c r="A113" t="s">
        <v>124</v>
      </c>
      <c r="B113" t="s">
        <v>172</v>
      </c>
      <c r="C113">
        <v>123419</v>
      </c>
      <c r="D113">
        <v>2021</v>
      </c>
      <c r="E113">
        <v>5085</v>
      </c>
      <c r="F113">
        <v>2703</v>
      </c>
      <c r="G113">
        <v>24</v>
      </c>
      <c r="H113">
        <v>2358</v>
      </c>
      <c r="I113">
        <v>77351</v>
      </c>
      <c r="J113">
        <v>53.16</v>
      </c>
      <c r="K113">
        <v>0.47</v>
      </c>
      <c r="L113">
        <v>62.67</v>
      </c>
      <c r="M113">
        <v>2226216</v>
      </c>
      <c r="N113" t="str">
        <f t="shared" si="1"/>
        <v>4th</v>
      </c>
    </row>
    <row r="114" spans="1:14" x14ac:dyDescent="0.35">
      <c r="A114" t="s">
        <v>125</v>
      </c>
      <c r="B114" t="s">
        <v>24</v>
      </c>
      <c r="C114">
        <v>4380326</v>
      </c>
      <c r="D114">
        <v>2020</v>
      </c>
      <c r="E114">
        <v>667158</v>
      </c>
      <c r="F114">
        <v>235145.5</v>
      </c>
      <c r="G114">
        <v>2570</v>
      </c>
      <c r="H114">
        <v>429442</v>
      </c>
      <c r="I114">
        <v>3405286</v>
      </c>
      <c r="J114">
        <v>35.25</v>
      </c>
      <c r="K114">
        <v>0.39</v>
      </c>
      <c r="L114">
        <v>77.739999999999995</v>
      </c>
      <c r="M114">
        <v>8455743</v>
      </c>
      <c r="N114" t="str">
        <f t="shared" si="1"/>
        <v>3rd</v>
      </c>
    </row>
    <row r="115" spans="1:14" x14ac:dyDescent="0.35">
      <c r="A115" t="s">
        <v>126</v>
      </c>
      <c r="B115" t="s">
        <v>24</v>
      </c>
      <c r="C115">
        <v>6728271</v>
      </c>
      <c r="D115">
        <v>2023</v>
      </c>
      <c r="E115">
        <v>206897</v>
      </c>
      <c r="F115">
        <v>196406</v>
      </c>
      <c r="G115">
        <v>2991</v>
      </c>
      <c r="H115">
        <v>7500</v>
      </c>
      <c r="I115">
        <v>6110429</v>
      </c>
      <c r="J115">
        <v>94.93</v>
      </c>
      <c r="K115">
        <v>1.45</v>
      </c>
      <c r="L115">
        <v>90.82</v>
      </c>
      <c r="M115">
        <v>1907195</v>
      </c>
      <c r="N115" t="str">
        <f t="shared" si="1"/>
        <v>3rd</v>
      </c>
    </row>
    <row r="116" spans="1:14" x14ac:dyDescent="0.35">
      <c r="A116" t="s">
        <v>127</v>
      </c>
      <c r="B116" t="s">
        <v>24</v>
      </c>
      <c r="C116">
        <v>7481023</v>
      </c>
      <c r="D116">
        <v>2020</v>
      </c>
      <c r="E116">
        <v>218970</v>
      </c>
      <c r="F116">
        <v>235145.5</v>
      </c>
      <c r="G116">
        <v>758</v>
      </c>
      <c r="H116">
        <v>0</v>
      </c>
      <c r="I116">
        <v>6407079</v>
      </c>
      <c r="J116">
        <v>107.39</v>
      </c>
      <c r="K116">
        <v>0.35</v>
      </c>
      <c r="L116">
        <v>85.64</v>
      </c>
      <c r="M116">
        <v>1233207</v>
      </c>
      <c r="N116" t="str">
        <f t="shared" si="1"/>
        <v>3rd</v>
      </c>
    </row>
    <row r="117" spans="1:14" x14ac:dyDescent="0.35">
      <c r="A117" t="s">
        <v>128</v>
      </c>
      <c r="B117" t="s">
        <v>83</v>
      </c>
      <c r="C117">
        <v>1848837</v>
      </c>
      <c r="D117">
        <v>2020</v>
      </c>
      <c r="E117">
        <v>982505</v>
      </c>
      <c r="F117">
        <v>971406</v>
      </c>
      <c r="G117">
        <v>6715</v>
      </c>
      <c r="H117">
        <v>4384</v>
      </c>
      <c r="I117">
        <v>1254539</v>
      </c>
      <c r="J117">
        <v>98.87</v>
      </c>
      <c r="K117">
        <v>0.68</v>
      </c>
      <c r="L117">
        <v>67.86</v>
      </c>
      <c r="M117">
        <v>7885792</v>
      </c>
      <c r="N117" t="str">
        <f t="shared" si="1"/>
        <v>3rd</v>
      </c>
    </row>
    <row r="118" spans="1:14" x14ac:dyDescent="0.35">
      <c r="A118" t="s">
        <v>129</v>
      </c>
      <c r="B118" t="s">
        <v>24</v>
      </c>
      <c r="C118">
        <v>6684849</v>
      </c>
      <c r="D118">
        <v>2022</v>
      </c>
      <c r="E118">
        <v>1243838</v>
      </c>
      <c r="F118">
        <v>1087587</v>
      </c>
      <c r="G118">
        <v>10952</v>
      </c>
      <c r="H118">
        <v>145299</v>
      </c>
      <c r="I118">
        <v>3533101</v>
      </c>
      <c r="J118">
        <v>87.44</v>
      </c>
      <c r="K118">
        <v>0.88</v>
      </c>
      <c r="L118">
        <v>52.85</v>
      </c>
      <c r="M118">
        <v>4795578</v>
      </c>
      <c r="N118" t="str">
        <f t="shared" si="1"/>
        <v>3rd</v>
      </c>
    </row>
    <row r="119" spans="1:14" x14ac:dyDescent="0.35">
      <c r="A119" t="s">
        <v>130</v>
      </c>
      <c r="B119" t="s">
        <v>14</v>
      </c>
      <c r="C119">
        <v>2175699</v>
      </c>
      <c r="D119">
        <v>2023</v>
      </c>
      <c r="E119">
        <v>36138</v>
      </c>
      <c r="F119">
        <v>25980</v>
      </c>
      <c r="G119">
        <v>723</v>
      </c>
      <c r="H119">
        <v>9435</v>
      </c>
      <c r="I119">
        <v>1603812</v>
      </c>
      <c r="J119">
        <v>71.89</v>
      </c>
      <c r="K119">
        <v>2</v>
      </c>
      <c r="L119">
        <v>73.709999999999994</v>
      </c>
      <c r="M119">
        <v>431221</v>
      </c>
      <c r="N119" t="str">
        <f t="shared" si="1"/>
        <v>4th</v>
      </c>
    </row>
    <row r="120" spans="1:14" x14ac:dyDescent="0.35">
      <c r="A120" t="s">
        <v>131</v>
      </c>
      <c r="B120" t="s">
        <v>14</v>
      </c>
      <c r="C120">
        <v>5305117</v>
      </c>
      <c r="D120">
        <v>2020</v>
      </c>
      <c r="E120">
        <v>8090</v>
      </c>
      <c r="F120">
        <v>7783</v>
      </c>
      <c r="G120">
        <v>295</v>
      </c>
      <c r="H120">
        <v>12</v>
      </c>
      <c r="I120">
        <v>3979603</v>
      </c>
      <c r="J120">
        <v>96.21</v>
      </c>
      <c r="K120">
        <v>3.65</v>
      </c>
      <c r="L120">
        <v>75.010000000000005</v>
      </c>
      <c r="M120">
        <v>139824</v>
      </c>
      <c r="N120" t="str">
        <f t="shared" si="1"/>
        <v>4th</v>
      </c>
    </row>
    <row r="121" spans="1:14" x14ac:dyDescent="0.35">
      <c r="A121" t="s">
        <v>132</v>
      </c>
      <c r="B121" t="s">
        <v>14</v>
      </c>
      <c r="C121">
        <v>7040745</v>
      </c>
      <c r="D121">
        <v>2021</v>
      </c>
      <c r="E121">
        <v>507274</v>
      </c>
      <c r="F121">
        <v>500835</v>
      </c>
      <c r="G121">
        <v>6437</v>
      </c>
      <c r="H121">
        <v>2</v>
      </c>
      <c r="I121">
        <v>4580474</v>
      </c>
      <c r="J121">
        <v>98.73</v>
      </c>
      <c r="K121">
        <v>1.27</v>
      </c>
      <c r="L121">
        <v>65.06</v>
      </c>
      <c r="M121">
        <v>2483848</v>
      </c>
      <c r="N121" t="str">
        <f t="shared" si="1"/>
        <v>3rd</v>
      </c>
    </row>
    <row r="122" spans="1:14" x14ac:dyDescent="0.35">
      <c r="A122" t="s">
        <v>133</v>
      </c>
      <c r="B122" t="s">
        <v>83</v>
      </c>
      <c r="C122">
        <v>38387</v>
      </c>
      <c r="D122">
        <v>2023</v>
      </c>
      <c r="E122">
        <v>21574</v>
      </c>
      <c r="F122">
        <v>235145.5</v>
      </c>
      <c r="G122">
        <v>94</v>
      </c>
      <c r="H122">
        <v>0</v>
      </c>
      <c r="I122">
        <v>31826</v>
      </c>
      <c r="J122">
        <v>1089.95</v>
      </c>
      <c r="K122">
        <v>0.44</v>
      </c>
      <c r="L122">
        <v>82.91</v>
      </c>
      <c r="M122">
        <v>112457</v>
      </c>
      <c r="N122" t="str">
        <f t="shared" si="1"/>
        <v>4th</v>
      </c>
    </row>
    <row r="123" spans="1:14" x14ac:dyDescent="0.35">
      <c r="A123" t="s">
        <v>134</v>
      </c>
      <c r="B123" t="s">
        <v>83</v>
      </c>
      <c r="C123">
        <v>2661708</v>
      </c>
      <c r="D123">
        <v>2022</v>
      </c>
      <c r="E123">
        <v>1397806</v>
      </c>
      <c r="F123">
        <v>1387478</v>
      </c>
      <c r="G123">
        <v>9897</v>
      </c>
      <c r="H123">
        <v>431</v>
      </c>
      <c r="I123">
        <v>2171463</v>
      </c>
      <c r="J123">
        <v>99.26</v>
      </c>
      <c r="K123">
        <v>0.71</v>
      </c>
      <c r="L123">
        <v>81.58</v>
      </c>
      <c r="M123">
        <v>10540357</v>
      </c>
      <c r="N123" t="str">
        <f t="shared" si="1"/>
        <v>3rd</v>
      </c>
    </row>
    <row r="124" spans="1:14" x14ac:dyDescent="0.35">
      <c r="A124" t="s">
        <v>135</v>
      </c>
      <c r="B124" t="s">
        <v>83</v>
      </c>
      <c r="C124">
        <v>642371</v>
      </c>
      <c r="D124">
        <v>2021</v>
      </c>
      <c r="E124">
        <v>391232</v>
      </c>
      <c r="F124">
        <v>235145.5</v>
      </c>
      <c r="G124">
        <v>1232</v>
      </c>
      <c r="H124">
        <v>154854</v>
      </c>
      <c r="I124">
        <v>473184</v>
      </c>
      <c r="J124">
        <v>60.1</v>
      </c>
      <c r="K124">
        <v>0.31</v>
      </c>
      <c r="L124">
        <v>73.66</v>
      </c>
      <c r="M124">
        <v>4587145</v>
      </c>
      <c r="N124" t="str">
        <f t="shared" si="1"/>
        <v>3rd</v>
      </c>
    </row>
    <row r="125" spans="1:14" x14ac:dyDescent="0.35">
      <c r="A125" t="s">
        <v>136</v>
      </c>
      <c r="B125" t="s">
        <v>14</v>
      </c>
      <c r="C125">
        <v>5797805</v>
      </c>
      <c r="D125">
        <v>2020</v>
      </c>
      <c r="E125">
        <v>9</v>
      </c>
      <c r="F125">
        <v>7</v>
      </c>
      <c r="G125">
        <v>2</v>
      </c>
      <c r="H125">
        <v>0</v>
      </c>
      <c r="I125">
        <v>3823509</v>
      </c>
      <c r="J125">
        <v>77.78</v>
      </c>
      <c r="K125">
        <v>22.22</v>
      </c>
      <c r="L125">
        <v>65.95</v>
      </c>
      <c r="M125">
        <v>2226216</v>
      </c>
      <c r="N125" t="str">
        <f t="shared" si="1"/>
        <v>5th</v>
      </c>
    </row>
    <row r="126" spans="1:14" x14ac:dyDescent="0.35">
      <c r="A126" t="s">
        <v>137</v>
      </c>
      <c r="B126" t="s">
        <v>24</v>
      </c>
      <c r="C126">
        <v>667490</v>
      </c>
      <c r="D126">
        <v>2023</v>
      </c>
      <c r="E126">
        <v>27673</v>
      </c>
      <c r="F126">
        <v>3487</v>
      </c>
      <c r="G126">
        <v>123</v>
      </c>
      <c r="H126">
        <v>24063</v>
      </c>
      <c r="I126">
        <v>459186</v>
      </c>
      <c r="J126">
        <v>12.6</v>
      </c>
      <c r="K126">
        <v>0.44</v>
      </c>
      <c r="L126">
        <v>68.790000000000006</v>
      </c>
      <c r="M126">
        <v>7850</v>
      </c>
      <c r="N126" t="str">
        <f t="shared" si="1"/>
        <v>4th</v>
      </c>
    </row>
    <row r="127" spans="1:14" x14ac:dyDescent="0.35">
      <c r="A127" t="s">
        <v>138</v>
      </c>
      <c r="B127" t="s">
        <v>14</v>
      </c>
      <c r="C127">
        <v>29178077</v>
      </c>
      <c r="D127">
        <v>2020</v>
      </c>
      <c r="E127">
        <v>68486</v>
      </c>
      <c r="F127">
        <v>66862</v>
      </c>
      <c r="G127">
        <v>1426</v>
      </c>
      <c r="H127">
        <v>198</v>
      </c>
      <c r="I127">
        <v>16707211</v>
      </c>
      <c r="J127">
        <v>97.63</v>
      </c>
      <c r="K127">
        <v>2.08</v>
      </c>
      <c r="L127">
        <v>57.26</v>
      </c>
      <c r="M127">
        <v>531329</v>
      </c>
      <c r="N127" t="str">
        <f t="shared" si="1"/>
        <v>3rd</v>
      </c>
    </row>
    <row r="128" spans="1:14" x14ac:dyDescent="0.35">
      <c r="A128" t="s">
        <v>139</v>
      </c>
      <c r="B128" t="s">
        <v>14</v>
      </c>
      <c r="C128">
        <v>20180839</v>
      </c>
      <c r="D128">
        <v>2023</v>
      </c>
      <c r="E128">
        <v>89535</v>
      </c>
      <c r="F128">
        <v>235145.5</v>
      </c>
      <c r="G128">
        <v>2686</v>
      </c>
      <c r="H128">
        <v>0</v>
      </c>
      <c r="I128">
        <v>14356646</v>
      </c>
      <c r="J128">
        <v>262.63</v>
      </c>
      <c r="K128">
        <v>3</v>
      </c>
      <c r="L128">
        <v>71.14</v>
      </c>
      <c r="M128">
        <v>624784</v>
      </c>
      <c r="N128" t="str">
        <f t="shared" si="1"/>
        <v>3rd</v>
      </c>
    </row>
    <row r="129" spans="1:14" x14ac:dyDescent="0.35">
      <c r="A129" t="s">
        <v>140</v>
      </c>
      <c r="B129" t="s">
        <v>24</v>
      </c>
      <c r="C129">
        <v>33181072</v>
      </c>
      <c r="D129">
        <v>2021</v>
      </c>
      <c r="E129">
        <v>5278406</v>
      </c>
      <c r="F129">
        <v>5233268</v>
      </c>
      <c r="G129">
        <v>37348</v>
      </c>
      <c r="H129">
        <v>7790</v>
      </c>
      <c r="I129">
        <v>23424576</v>
      </c>
      <c r="J129">
        <v>99.14</v>
      </c>
      <c r="K129">
        <v>0.71</v>
      </c>
      <c r="L129">
        <v>70.599999999999994</v>
      </c>
      <c r="M129">
        <v>68580916</v>
      </c>
      <c r="N129" t="str">
        <f t="shared" si="1"/>
        <v>3rd</v>
      </c>
    </row>
    <row r="130" spans="1:14" x14ac:dyDescent="0.35">
      <c r="A130" t="s">
        <v>141</v>
      </c>
      <c r="B130" t="s">
        <v>24</v>
      </c>
      <c r="C130">
        <v>540985</v>
      </c>
      <c r="D130">
        <v>2023</v>
      </c>
      <c r="E130">
        <v>186694</v>
      </c>
      <c r="F130">
        <v>163687</v>
      </c>
      <c r="G130">
        <v>316</v>
      </c>
      <c r="H130">
        <v>22691</v>
      </c>
      <c r="I130">
        <v>318995</v>
      </c>
      <c r="J130">
        <v>87.68</v>
      </c>
      <c r="K130">
        <v>0.17</v>
      </c>
      <c r="L130">
        <v>58.97</v>
      </c>
      <c r="M130">
        <v>2213831</v>
      </c>
      <c r="N130" t="str">
        <f t="shared" si="1"/>
        <v>3rd</v>
      </c>
    </row>
    <row r="131" spans="1:14" x14ac:dyDescent="0.35">
      <c r="A131" t="s">
        <v>142</v>
      </c>
      <c r="B131" t="s">
        <v>14</v>
      </c>
      <c r="C131">
        <v>21473764</v>
      </c>
      <c r="D131">
        <v>2023</v>
      </c>
      <c r="E131">
        <v>33164</v>
      </c>
      <c r="F131">
        <v>32332</v>
      </c>
      <c r="G131">
        <v>743</v>
      </c>
      <c r="H131">
        <v>89</v>
      </c>
      <c r="I131">
        <v>19068775</v>
      </c>
      <c r="J131">
        <v>97.49</v>
      </c>
      <c r="K131">
        <v>2.2400000000000002</v>
      </c>
      <c r="L131">
        <v>88.8</v>
      </c>
      <c r="M131">
        <v>804909</v>
      </c>
      <c r="N131" t="str">
        <f t="shared" ref="N131:N194" si="2">IF(E131&gt;=100000000,"1st",IF(E131&gt;=10000000,"2nd",IF(E131&gt;=50000,"3rd",IF(E131&gt;=5000,"4th",IF(E131&lt;=5000,"5th")))))</f>
        <v>4th</v>
      </c>
    </row>
    <row r="132" spans="1:14" x14ac:dyDescent="0.35">
      <c r="A132" t="s">
        <v>143</v>
      </c>
      <c r="B132" t="s">
        <v>83</v>
      </c>
      <c r="C132">
        <v>444033</v>
      </c>
      <c r="D132">
        <v>2020</v>
      </c>
      <c r="E132">
        <v>121420</v>
      </c>
      <c r="F132">
        <v>120149</v>
      </c>
      <c r="G132">
        <v>885</v>
      </c>
      <c r="H132">
        <v>386</v>
      </c>
      <c r="I132">
        <v>217887</v>
      </c>
      <c r="J132">
        <v>98.95</v>
      </c>
      <c r="K132">
        <v>0.73</v>
      </c>
      <c r="L132">
        <v>49.07</v>
      </c>
      <c r="M132">
        <v>2170600</v>
      </c>
      <c r="N132" t="str">
        <f t="shared" si="2"/>
        <v>3rd</v>
      </c>
    </row>
    <row r="133" spans="1:14" x14ac:dyDescent="0.35">
      <c r="A133" t="s">
        <v>144</v>
      </c>
      <c r="B133" t="s">
        <v>172</v>
      </c>
      <c r="C133">
        <v>60057</v>
      </c>
      <c r="D133">
        <v>2021</v>
      </c>
      <c r="E133">
        <v>16138</v>
      </c>
      <c r="F133">
        <v>16121</v>
      </c>
      <c r="G133">
        <v>17</v>
      </c>
      <c r="H133">
        <v>0</v>
      </c>
      <c r="I133">
        <v>54096</v>
      </c>
      <c r="J133">
        <v>99.89</v>
      </c>
      <c r="K133">
        <v>0.11</v>
      </c>
      <c r="L133">
        <v>90.07</v>
      </c>
      <c r="M133">
        <v>2226216</v>
      </c>
      <c r="N133" t="str">
        <f t="shared" si="2"/>
        <v>4th</v>
      </c>
    </row>
    <row r="134" spans="1:14" x14ac:dyDescent="0.35">
      <c r="A134" t="s">
        <v>145</v>
      </c>
      <c r="B134" t="s">
        <v>169</v>
      </c>
      <c r="C134">
        <v>374087</v>
      </c>
      <c r="D134">
        <v>2023</v>
      </c>
      <c r="E134">
        <v>230354</v>
      </c>
      <c r="F134">
        <v>235145.5</v>
      </c>
      <c r="G134">
        <v>1102</v>
      </c>
      <c r="H134">
        <v>0</v>
      </c>
      <c r="I134">
        <v>230354</v>
      </c>
      <c r="J134">
        <v>102.08</v>
      </c>
      <c r="K134">
        <v>0.48</v>
      </c>
      <c r="L134">
        <v>61.58</v>
      </c>
      <c r="M134">
        <v>828928</v>
      </c>
      <c r="N134" t="str">
        <f t="shared" si="2"/>
        <v>3rd</v>
      </c>
    </row>
    <row r="135" spans="1:14" x14ac:dyDescent="0.35">
      <c r="A135" t="s">
        <v>146</v>
      </c>
      <c r="B135" t="s">
        <v>14</v>
      </c>
      <c r="C135">
        <v>4901981</v>
      </c>
      <c r="D135">
        <v>2023</v>
      </c>
      <c r="E135">
        <v>63848</v>
      </c>
      <c r="F135">
        <v>62471</v>
      </c>
      <c r="G135">
        <v>997</v>
      </c>
      <c r="H135">
        <v>380</v>
      </c>
      <c r="I135">
        <v>3323954</v>
      </c>
      <c r="J135">
        <v>97.84</v>
      </c>
      <c r="K135">
        <v>1.56</v>
      </c>
      <c r="L135">
        <v>67.81</v>
      </c>
      <c r="M135">
        <v>1009957</v>
      </c>
      <c r="N135" t="str">
        <f t="shared" si="2"/>
        <v>3rd</v>
      </c>
    </row>
    <row r="136" spans="1:14" x14ac:dyDescent="0.35">
      <c r="A136" t="s">
        <v>147</v>
      </c>
      <c r="B136" t="s">
        <v>14</v>
      </c>
      <c r="C136">
        <v>1274727</v>
      </c>
      <c r="D136">
        <v>2021</v>
      </c>
      <c r="E136">
        <v>43025</v>
      </c>
      <c r="F136">
        <v>41278</v>
      </c>
      <c r="G136">
        <v>1051</v>
      </c>
      <c r="H136">
        <v>696</v>
      </c>
      <c r="I136">
        <v>652037</v>
      </c>
      <c r="J136">
        <v>95.94</v>
      </c>
      <c r="K136">
        <v>2.44</v>
      </c>
      <c r="L136">
        <v>51.15</v>
      </c>
      <c r="M136">
        <v>358675</v>
      </c>
      <c r="N136" t="str">
        <f t="shared" si="2"/>
        <v>4th</v>
      </c>
    </row>
    <row r="137" spans="1:14" x14ac:dyDescent="0.35">
      <c r="A137" t="s">
        <v>148</v>
      </c>
      <c r="B137" t="s">
        <v>14</v>
      </c>
      <c r="C137">
        <v>286259</v>
      </c>
      <c r="D137">
        <v>2022</v>
      </c>
      <c r="E137">
        <v>42027</v>
      </c>
      <c r="F137">
        <v>235145.5</v>
      </c>
      <c r="G137">
        <v>188</v>
      </c>
      <c r="H137">
        <v>0</v>
      </c>
      <c r="I137">
        <v>215395</v>
      </c>
      <c r="J137">
        <v>559.51</v>
      </c>
      <c r="K137">
        <v>0.45</v>
      </c>
      <c r="L137">
        <v>75.239999999999995</v>
      </c>
      <c r="M137">
        <v>176919</v>
      </c>
      <c r="N137" t="str">
        <f t="shared" si="2"/>
        <v>4th</v>
      </c>
    </row>
    <row r="138" spans="1:14" x14ac:dyDescent="0.35">
      <c r="A138" t="s">
        <v>149</v>
      </c>
      <c r="B138" t="s">
        <v>169</v>
      </c>
      <c r="C138">
        <v>131562772</v>
      </c>
      <c r="D138">
        <v>2022</v>
      </c>
      <c r="E138">
        <v>7702809</v>
      </c>
      <c r="F138">
        <v>6899865</v>
      </c>
      <c r="G138">
        <v>334958</v>
      </c>
      <c r="H138">
        <v>467986</v>
      </c>
      <c r="I138">
        <v>118764285</v>
      </c>
      <c r="J138">
        <v>89.58</v>
      </c>
      <c r="K138">
        <v>4.3499999999999996</v>
      </c>
      <c r="L138">
        <v>90.27</v>
      </c>
      <c r="M138">
        <v>20013810</v>
      </c>
      <c r="N138" t="str">
        <f t="shared" si="2"/>
        <v>3rd</v>
      </c>
    </row>
    <row r="139" spans="1:14" x14ac:dyDescent="0.35">
      <c r="A139" t="s">
        <v>150</v>
      </c>
      <c r="B139" t="s">
        <v>172</v>
      </c>
      <c r="C139">
        <v>117489</v>
      </c>
      <c r="D139">
        <v>2022</v>
      </c>
      <c r="E139">
        <v>26547</v>
      </c>
      <c r="F139">
        <v>235145.5</v>
      </c>
      <c r="G139">
        <v>65</v>
      </c>
      <c r="H139">
        <v>0</v>
      </c>
      <c r="I139">
        <v>63903</v>
      </c>
      <c r="J139">
        <v>885.77</v>
      </c>
      <c r="K139">
        <v>0.24</v>
      </c>
      <c r="L139">
        <v>54.39</v>
      </c>
      <c r="M139">
        <v>82430</v>
      </c>
      <c r="N139" t="str">
        <f t="shared" si="2"/>
        <v>4th</v>
      </c>
    </row>
    <row r="140" spans="1:14" x14ac:dyDescent="0.35">
      <c r="A140" t="s">
        <v>151</v>
      </c>
      <c r="B140" t="s">
        <v>83</v>
      </c>
      <c r="C140">
        <v>4013171</v>
      </c>
      <c r="D140">
        <v>2020</v>
      </c>
      <c r="E140">
        <v>635145</v>
      </c>
      <c r="F140">
        <v>235145.5</v>
      </c>
      <c r="G140">
        <v>12218</v>
      </c>
      <c r="H140">
        <v>387782</v>
      </c>
      <c r="I140">
        <v>3469251</v>
      </c>
      <c r="J140">
        <v>37.020000000000003</v>
      </c>
      <c r="K140">
        <v>1.92</v>
      </c>
      <c r="L140">
        <v>86.45</v>
      </c>
      <c r="M140">
        <v>3216305</v>
      </c>
      <c r="N140" t="str">
        <f t="shared" si="2"/>
        <v>3rd</v>
      </c>
    </row>
    <row r="141" spans="1:14" x14ac:dyDescent="0.35">
      <c r="A141" t="s">
        <v>152</v>
      </c>
      <c r="B141" t="s">
        <v>83</v>
      </c>
      <c r="C141">
        <v>39783</v>
      </c>
      <c r="D141">
        <v>2020</v>
      </c>
      <c r="E141">
        <v>17181</v>
      </c>
      <c r="F141">
        <v>235145.5</v>
      </c>
      <c r="G141">
        <v>67</v>
      </c>
      <c r="H141">
        <v>0</v>
      </c>
      <c r="I141">
        <v>22222</v>
      </c>
      <c r="J141">
        <v>1368.64</v>
      </c>
      <c r="K141">
        <v>0.39</v>
      </c>
      <c r="L141">
        <v>55.86</v>
      </c>
      <c r="M141">
        <v>78646</v>
      </c>
      <c r="N141" t="str">
        <f t="shared" si="2"/>
        <v>4th</v>
      </c>
    </row>
    <row r="142" spans="1:14" x14ac:dyDescent="0.35">
      <c r="A142" t="s">
        <v>153</v>
      </c>
      <c r="B142" t="s">
        <v>24</v>
      </c>
      <c r="C142">
        <v>3378078</v>
      </c>
      <c r="D142">
        <v>2021</v>
      </c>
      <c r="E142">
        <v>1011496</v>
      </c>
      <c r="F142">
        <v>1009212</v>
      </c>
      <c r="G142">
        <v>2284</v>
      </c>
      <c r="H142">
        <v>0</v>
      </c>
      <c r="I142">
        <v>2535015</v>
      </c>
      <c r="J142">
        <v>99.77</v>
      </c>
      <c r="K142">
        <v>0.23</v>
      </c>
      <c r="L142">
        <v>75.040000000000006</v>
      </c>
      <c r="M142">
        <v>4030048</v>
      </c>
      <c r="N142" t="str">
        <f t="shared" si="2"/>
        <v>3rd</v>
      </c>
    </row>
    <row r="143" spans="1:14" x14ac:dyDescent="0.35">
      <c r="A143" t="s">
        <v>154</v>
      </c>
      <c r="B143" t="s">
        <v>83</v>
      </c>
      <c r="C143">
        <v>627950</v>
      </c>
      <c r="D143">
        <v>2022</v>
      </c>
      <c r="E143">
        <v>296542</v>
      </c>
      <c r="F143">
        <v>291794</v>
      </c>
      <c r="G143">
        <v>2846</v>
      </c>
      <c r="H143">
        <v>1902</v>
      </c>
      <c r="I143">
        <v>487599</v>
      </c>
      <c r="J143">
        <v>98.4</v>
      </c>
      <c r="K143">
        <v>0.96</v>
      </c>
      <c r="L143">
        <v>77.650000000000006</v>
      </c>
      <c r="M143">
        <v>2769281</v>
      </c>
      <c r="N143" t="str">
        <f t="shared" si="2"/>
        <v>3rd</v>
      </c>
    </row>
    <row r="144" spans="1:14" x14ac:dyDescent="0.35">
      <c r="A144" t="s">
        <v>155</v>
      </c>
      <c r="B144" t="s">
        <v>169</v>
      </c>
      <c r="C144">
        <v>4965</v>
      </c>
      <c r="D144">
        <v>2022</v>
      </c>
      <c r="E144">
        <v>1403</v>
      </c>
      <c r="F144">
        <v>1376</v>
      </c>
      <c r="G144">
        <v>8</v>
      </c>
      <c r="H144">
        <v>19</v>
      </c>
      <c r="I144">
        <v>4600</v>
      </c>
      <c r="J144">
        <v>98.08</v>
      </c>
      <c r="K144">
        <v>0.56999999999999995</v>
      </c>
      <c r="L144">
        <v>92.65</v>
      </c>
      <c r="M144">
        <v>17762</v>
      </c>
      <c r="N144" t="str">
        <f t="shared" si="2"/>
        <v>5th</v>
      </c>
    </row>
    <row r="145" spans="1:14" x14ac:dyDescent="0.35">
      <c r="A145" t="s">
        <v>156</v>
      </c>
      <c r="B145" t="s">
        <v>14</v>
      </c>
      <c r="C145">
        <v>37772756</v>
      </c>
      <c r="D145">
        <v>2020</v>
      </c>
      <c r="E145">
        <v>1278992</v>
      </c>
      <c r="F145">
        <v>235145.5</v>
      </c>
      <c r="G145">
        <v>16303</v>
      </c>
      <c r="H145">
        <v>1027544</v>
      </c>
      <c r="I145">
        <v>30362811</v>
      </c>
      <c r="J145">
        <v>18.39</v>
      </c>
      <c r="K145">
        <v>1.27</v>
      </c>
      <c r="L145">
        <v>80.38</v>
      </c>
      <c r="M145">
        <v>13001033</v>
      </c>
      <c r="N145" t="str">
        <f t="shared" si="2"/>
        <v>3rd</v>
      </c>
    </row>
    <row r="146" spans="1:14" x14ac:dyDescent="0.35">
      <c r="A146" t="s">
        <v>157</v>
      </c>
      <c r="B146" t="s">
        <v>14</v>
      </c>
      <c r="C146">
        <v>33089461</v>
      </c>
      <c r="D146">
        <v>2022</v>
      </c>
      <c r="E146">
        <v>233731</v>
      </c>
      <c r="F146">
        <v>228805</v>
      </c>
      <c r="G146">
        <v>2250</v>
      </c>
      <c r="H146">
        <v>2676</v>
      </c>
      <c r="I146">
        <v>16821681</v>
      </c>
      <c r="J146">
        <v>97.89</v>
      </c>
      <c r="K146">
        <v>0.96</v>
      </c>
      <c r="L146">
        <v>50.84</v>
      </c>
      <c r="M146">
        <v>1371127</v>
      </c>
      <c r="N146" t="str">
        <f t="shared" si="2"/>
        <v>3rd</v>
      </c>
    </row>
    <row r="147" spans="1:14" x14ac:dyDescent="0.35">
      <c r="A147" t="s">
        <v>158</v>
      </c>
      <c r="B147" t="s">
        <v>24</v>
      </c>
      <c r="C147">
        <v>55227143</v>
      </c>
      <c r="D147">
        <v>2022</v>
      </c>
      <c r="E147">
        <v>641873</v>
      </c>
      <c r="F147">
        <v>620159</v>
      </c>
      <c r="G147">
        <v>19495</v>
      </c>
      <c r="H147">
        <v>2219</v>
      </c>
      <c r="I147">
        <v>29712864</v>
      </c>
      <c r="J147">
        <v>96.62</v>
      </c>
      <c r="K147">
        <v>3.04</v>
      </c>
      <c r="L147">
        <v>53.8</v>
      </c>
      <c r="M147">
        <v>11711514</v>
      </c>
      <c r="N147" t="str">
        <f t="shared" si="2"/>
        <v>3rd</v>
      </c>
    </row>
    <row r="148" spans="1:14" x14ac:dyDescent="0.35">
      <c r="A148" t="s">
        <v>159</v>
      </c>
      <c r="B148" t="s">
        <v>14</v>
      </c>
      <c r="C148">
        <v>2633874</v>
      </c>
      <c r="D148">
        <v>2021</v>
      </c>
      <c r="E148">
        <v>172389</v>
      </c>
      <c r="F148">
        <v>167099</v>
      </c>
      <c r="G148">
        <v>4106</v>
      </c>
      <c r="H148">
        <v>1184</v>
      </c>
      <c r="I148">
        <v>2385537</v>
      </c>
      <c r="J148">
        <v>96.93</v>
      </c>
      <c r="K148">
        <v>2.38</v>
      </c>
      <c r="L148">
        <v>90.57</v>
      </c>
      <c r="M148">
        <v>1062663</v>
      </c>
      <c r="N148" t="str">
        <f t="shared" si="2"/>
        <v>3rd</v>
      </c>
    </row>
    <row r="149" spans="1:14" x14ac:dyDescent="0.35">
      <c r="A149" t="s">
        <v>160</v>
      </c>
      <c r="B149" t="s">
        <v>172</v>
      </c>
      <c r="C149">
        <v>10903</v>
      </c>
      <c r="D149">
        <v>2021</v>
      </c>
      <c r="E149">
        <v>5393</v>
      </c>
      <c r="F149">
        <v>5347</v>
      </c>
      <c r="G149">
        <v>1</v>
      </c>
      <c r="H149">
        <v>45</v>
      </c>
      <c r="I149">
        <v>5702</v>
      </c>
      <c r="J149">
        <v>99.15</v>
      </c>
      <c r="K149">
        <v>0.02</v>
      </c>
      <c r="L149">
        <v>52.3</v>
      </c>
      <c r="M149">
        <v>20509</v>
      </c>
      <c r="N149" t="str">
        <f t="shared" si="2"/>
        <v>4th</v>
      </c>
    </row>
    <row r="150" spans="1:14" x14ac:dyDescent="0.35">
      <c r="A150" t="s">
        <v>161</v>
      </c>
      <c r="B150" t="s">
        <v>24</v>
      </c>
      <c r="C150">
        <v>30225582</v>
      </c>
      <c r="D150">
        <v>2020</v>
      </c>
      <c r="E150">
        <v>1003450</v>
      </c>
      <c r="F150">
        <v>991322</v>
      </c>
      <c r="G150">
        <v>12031</v>
      </c>
      <c r="H150">
        <v>97</v>
      </c>
      <c r="I150">
        <v>24311989</v>
      </c>
      <c r="J150">
        <v>98.79</v>
      </c>
      <c r="K150">
        <v>1.2</v>
      </c>
      <c r="L150">
        <v>80.44</v>
      </c>
      <c r="M150">
        <v>6047766</v>
      </c>
      <c r="N150" t="str">
        <f t="shared" si="2"/>
        <v>3rd</v>
      </c>
    </row>
    <row r="151" spans="1:14" x14ac:dyDescent="0.35">
      <c r="A151" t="s">
        <v>162</v>
      </c>
      <c r="B151" t="s">
        <v>83</v>
      </c>
      <c r="C151">
        <v>17211447</v>
      </c>
      <c r="D151">
        <v>2023</v>
      </c>
      <c r="E151">
        <v>8635786</v>
      </c>
      <c r="F151">
        <v>8612599</v>
      </c>
      <c r="G151">
        <v>22992</v>
      </c>
      <c r="H151">
        <v>195</v>
      </c>
      <c r="I151">
        <v>15109992</v>
      </c>
      <c r="J151">
        <v>99.73</v>
      </c>
      <c r="K151">
        <v>0.27</v>
      </c>
      <c r="L151">
        <v>87.79</v>
      </c>
      <c r="M151">
        <v>25984435</v>
      </c>
      <c r="N151" t="str">
        <f t="shared" si="2"/>
        <v>3rd</v>
      </c>
    </row>
    <row r="152" spans="1:14" x14ac:dyDescent="0.35">
      <c r="A152" t="s">
        <v>163</v>
      </c>
      <c r="B152" t="s">
        <v>172</v>
      </c>
      <c r="C152">
        <v>290915</v>
      </c>
      <c r="D152">
        <v>2023</v>
      </c>
      <c r="E152">
        <v>80064</v>
      </c>
      <c r="F152">
        <v>235145.5</v>
      </c>
      <c r="G152">
        <v>314</v>
      </c>
      <c r="H152">
        <v>0</v>
      </c>
      <c r="I152">
        <v>173346</v>
      </c>
      <c r="J152">
        <v>293.7</v>
      </c>
      <c r="K152">
        <v>0.39</v>
      </c>
      <c r="L152">
        <v>59.59</v>
      </c>
      <c r="M152">
        <v>98964</v>
      </c>
      <c r="N152" t="str">
        <f t="shared" si="2"/>
        <v>3rd</v>
      </c>
    </row>
    <row r="153" spans="1:14" x14ac:dyDescent="0.35">
      <c r="A153" t="s">
        <v>164</v>
      </c>
      <c r="B153" t="s">
        <v>172</v>
      </c>
      <c r="C153">
        <v>4898203</v>
      </c>
      <c r="D153">
        <v>2023</v>
      </c>
      <c r="E153">
        <v>2621111</v>
      </c>
      <c r="F153">
        <v>2613791</v>
      </c>
      <c r="G153">
        <v>5697</v>
      </c>
      <c r="H153">
        <v>1623</v>
      </c>
      <c r="I153">
        <v>2621111</v>
      </c>
      <c r="J153">
        <v>99.72</v>
      </c>
      <c r="K153">
        <v>0.22</v>
      </c>
      <c r="L153">
        <v>53.51</v>
      </c>
      <c r="M153">
        <v>7768604</v>
      </c>
      <c r="N153" t="str">
        <f t="shared" si="2"/>
        <v>3rd</v>
      </c>
    </row>
    <row r="154" spans="1:14" x14ac:dyDescent="0.35">
      <c r="A154" t="s">
        <v>165</v>
      </c>
      <c r="B154" t="s">
        <v>169</v>
      </c>
      <c r="C154">
        <v>6779100</v>
      </c>
      <c r="D154">
        <v>2022</v>
      </c>
      <c r="E154">
        <v>18491</v>
      </c>
      <c r="F154">
        <v>4225</v>
      </c>
      <c r="G154">
        <v>225</v>
      </c>
      <c r="H154">
        <v>14041</v>
      </c>
      <c r="I154">
        <v>3431012</v>
      </c>
      <c r="J154">
        <v>22.85</v>
      </c>
      <c r="K154">
        <v>1.22</v>
      </c>
      <c r="L154">
        <v>50.61</v>
      </c>
      <c r="M154">
        <v>2226216</v>
      </c>
      <c r="N154" t="str">
        <f t="shared" si="2"/>
        <v>4th</v>
      </c>
    </row>
    <row r="155" spans="1:14" x14ac:dyDescent="0.35">
      <c r="A155" t="s">
        <v>166</v>
      </c>
      <c r="B155" t="s">
        <v>14</v>
      </c>
      <c r="C155">
        <v>26083660</v>
      </c>
      <c r="D155">
        <v>2023</v>
      </c>
      <c r="E155">
        <v>9931</v>
      </c>
      <c r="F155">
        <v>8890</v>
      </c>
      <c r="G155">
        <v>312</v>
      </c>
      <c r="H155">
        <v>729</v>
      </c>
      <c r="I155">
        <v>24021420</v>
      </c>
      <c r="J155">
        <v>89.52</v>
      </c>
      <c r="K155">
        <v>3.14</v>
      </c>
      <c r="L155">
        <v>92.09</v>
      </c>
      <c r="M155">
        <v>254538</v>
      </c>
      <c r="N155" t="str">
        <f t="shared" si="2"/>
        <v>4th</v>
      </c>
    </row>
    <row r="156" spans="1:14" x14ac:dyDescent="0.35">
      <c r="A156" t="s">
        <v>167</v>
      </c>
      <c r="B156" t="s">
        <v>14</v>
      </c>
      <c r="C156">
        <v>216746934</v>
      </c>
      <c r="D156">
        <v>2022</v>
      </c>
      <c r="E156">
        <v>267188</v>
      </c>
      <c r="F156">
        <v>259953</v>
      </c>
      <c r="G156">
        <v>3155</v>
      </c>
      <c r="H156">
        <v>4080</v>
      </c>
      <c r="I156">
        <v>101755255</v>
      </c>
      <c r="J156">
        <v>97.29</v>
      </c>
      <c r="K156">
        <v>1.18</v>
      </c>
      <c r="L156">
        <v>46.95</v>
      </c>
      <c r="M156">
        <v>5708974</v>
      </c>
      <c r="N156" t="str">
        <f t="shared" si="2"/>
        <v>3rd</v>
      </c>
    </row>
    <row r="157" spans="1:14" x14ac:dyDescent="0.35">
      <c r="A157" t="s">
        <v>168</v>
      </c>
      <c r="B157" t="s">
        <v>172</v>
      </c>
      <c r="C157">
        <v>1622</v>
      </c>
      <c r="D157">
        <v>2021</v>
      </c>
      <c r="E157">
        <v>1059</v>
      </c>
      <c r="F157">
        <v>1056</v>
      </c>
      <c r="G157">
        <v>2570</v>
      </c>
      <c r="H157">
        <v>0</v>
      </c>
      <c r="I157">
        <v>1501</v>
      </c>
      <c r="J157">
        <v>99.72</v>
      </c>
      <c r="K157">
        <v>242.68</v>
      </c>
      <c r="L157">
        <v>92.54</v>
      </c>
      <c r="M157">
        <v>2226216</v>
      </c>
      <c r="N157" t="str">
        <f t="shared" si="2"/>
        <v>5th</v>
      </c>
    </row>
    <row r="158" spans="1:14" x14ac:dyDescent="0.35">
      <c r="A158" t="s">
        <v>169</v>
      </c>
      <c r="B158" t="s">
        <v>169</v>
      </c>
      <c r="C158">
        <v>5797805</v>
      </c>
      <c r="D158">
        <v>2020</v>
      </c>
      <c r="E158">
        <v>131889132</v>
      </c>
      <c r="F158">
        <v>127665129</v>
      </c>
      <c r="G158">
        <v>1695941</v>
      </c>
      <c r="H158">
        <v>2528062</v>
      </c>
      <c r="I158">
        <v>5797805</v>
      </c>
      <c r="J158">
        <v>96.8</v>
      </c>
      <c r="K158">
        <v>1.29</v>
      </c>
      <c r="L158">
        <v>100</v>
      </c>
      <c r="M158">
        <v>2226216</v>
      </c>
      <c r="N158" t="str">
        <f t="shared" si="2"/>
        <v>1st</v>
      </c>
    </row>
    <row r="159" spans="1:14" x14ac:dyDescent="0.35">
      <c r="A159" t="s">
        <v>170</v>
      </c>
      <c r="B159" t="s">
        <v>83</v>
      </c>
      <c r="C159">
        <v>2081304</v>
      </c>
      <c r="D159">
        <v>2021</v>
      </c>
      <c r="E159">
        <v>350567</v>
      </c>
      <c r="F159">
        <v>337068</v>
      </c>
      <c r="G159">
        <v>9976</v>
      </c>
      <c r="H159">
        <v>3523</v>
      </c>
      <c r="I159">
        <v>1340294</v>
      </c>
      <c r="J159">
        <v>96.15</v>
      </c>
      <c r="K159">
        <v>2.85</v>
      </c>
      <c r="L159">
        <v>64.400000000000006</v>
      </c>
      <c r="M159">
        <v>2226216</v>
      </c>
      <c r="N159" t="str">
        <f t="shared" si="2"/>
        <v>3rd</v>
      </c>
    </row>
    <row r="160" spans="1:14" x14ac:dyDescent="0.35">
      <c r="A160" t="s">
        <v>171</v>
      </c>
      <c r="B160" t="s">
        <v>83</v>
      </c>
      <c r="C160">
        <v>5511370</v>
      </c>
      <c r="D160">
        <v>2022</v>
      </c>
      <c r="E160">
        <v>1509732</v>
      </c>
      <c r="F160">
        <v>1503094</v>
      </c>
      <c r="G160">
        <v>6638</v>
      </c>
      <c r="H160">
        <v>0</v>
      </c>
      <c r="I160">
        <v>2989216</v>
      </c>
      <c r="J160">
        <v>99.56</v>
      </c>
      <c r="K160">
        <v>0.44</v>
      </c>
      <c r="L160">
        <v>54.24</v>
      </c>
      <c r="M160">
        <v>11002430</v>
      </c>
      <c r="N160" t="str">
        <f t="shared" si="2"/>
        <v>3rd</v>
      </c>
    </row>
    <row r="161" spans="1:14" x14ac:dyDescent="0.35">
      <c r="A161" t="s">
        <v>172</v>
      </c>
      <c r="B161" t="s">
        <v>172</v>
      </c>
      <c r="C161">
        <v>5797805</v>
      </c>
      <c r="D161">
        <v>2021</v>
      </c>
      <c r="E161">
        <v>14895771</v>
      </c>
      <c r="F161">
        <v>14752388</v>
      </c>
      <c r="G161">
        <v>33015</v>
      </c>
      <c r="H161">
        <v>110368</v>
      </c>
      <c r="I161">
        <v>5797805</v>
      </c>
      <c r="J161">
        <v>99.04</v>
      </c>
      <c r="K161">
        <v>0.22</v>
      </c>
      <c r="L161">
        <v>100</v>
      </c>
      <c r="M161">
        <v>2226216</v>
      </c>
      <c r="N161" t="str">
        <f t="shared" si="2"/>
        <v>2nd</v>
      </c>
    </row>
    <row r="162" spans="1:14" x14ac:dyDescent="0.35">
      <c r="A162" t="s">
        <v>173</v>
      </c>
      <c r="B162" t="s">
        <v>24</v>
      </c>
      <c r="C162">
        <v>5323993</v>
      </c>
      <c r="D162">
        <v>2021</v>
      </c>
      <c r="E162">
        <v>399449</v>
      </c>
      <c r="F162">
        <v>235145.5</v>
      </c>
      <c r="G162">
        <v>4628</v>
      </c>
      <c r="H162">
        <v>159676</v>
      </c>
      <c r="I162">
        <v>3327810</v>
      </c>
      <c r="J162">
        <v>58.87</v>
      </c>
      <c r="K162">
        <v>1.1599999999999999</v>
      </c>
      <c r="L162">
        <v>62.51</v>
      </c>
      <c r="M162">
        <v>25000000</v>
      </c>
      <c r="N162" t="str">
        <f t="shared" si="2"/>
        <v>3rd</v>
      </c>
    </row>
    <row r="163" spans="1:14" x14ac:dyDescent="0.35">
      <c r="A163" t="s">
        <v>174</v>
      </c>
      <c r="B163" t="s">
        <v>24</v>
      </c>
      <c r="C163">
        <v>229488994</v>
      </c>
      <c r="D163">
        <v>2020</v>
      </c>
      <c r="E163">
        <v>1581936</v>
      </c>
      <c r="F163">
        <v>1538689</v>
      </c>
      <c r="G163">
        <v>30664</v>
      </c>
      <c r="H163">
        <v>12583</v>
      </c>
      <c r="I163">
        <v>119564173</v>
      </c>
      <c r="J163">
        <v>97.27</v>
      </c>
      <c r="K163">
        <v>1.94</v>
      </c>
      <c r="L163">
        <v>52.1</v>
      </c>
      <c r="M163">
        <v>30589153</v>
      </c>
      <c r="N163" t="str">
        <f t="shared" si="2"/>
        <v>3rd</v>
      </c>
    </row>
    <row r="164" spans="1:14" x14ac:dyDescent="0.35">
      <c r="A164" t="s">
        <v>175</v>
      </c>
      <c r="B164" t="s">
        <v>172</v>
      </c>
      <c r="C164">
        <v>18233</v>
      </c>
      <c r="D164">
        <v>2020</v>
      </c>
      <c r="E164">
        <v>6290</v>
      </c>
      <c r="F164">
        <v>6276</v>
      </c>
      <c r="G164">
        <v>10</v>
      </c>
      <c r="H164">
        <v>4</v>
      </c>
      <c r="I164">
        <v>14047</v>
      </c>
      <c r="J164">
        <v>99.78</v>
      </c>
      <c r="K164">
        <v>0.16</v>
      </c>
      <c r="L164">
        <v>77.040000000000006</v>
      </c>
      <c r="M164">
        <v>71434</v>
      </c>
      <c r="N164" t="str">
        <f t="shared" si="2"/>
        <v>4th</v>
      </c>
    </row>
    <row r="165" spans="1:14" x14ac:dyDescent="0.35">
      <c r="A165" t="s">
        <v>176</v>
      </c>
      <c r="B165" t="s">
        <v>24</v>
      </c>
      <c r="C165">
        <v>5345541</v>
      </c>
      <c r="D165">
        <v>2021</v>
      </c>
      <c r="E165">
        <v>621008</v>
      </c>
      <c r="F165">
        <v>615445</v>
      </c>
      <c r="G165">
        <v>5404</v>
      </c>
      <c r="H165">
        <v>159</v>
      </c>
      <c r="I165">
        <v>4802415</v>
      </c>
      <c r="J165">
        <v>99.1</v>
      </c>
      <c r="K165">
        <v>0.87</v>
      </c>
      <c r="L165">
        <v>89.84</v>
      </c>
      <c r="M165">
        <v>3078533</v>
      </c>
      <c r="N165" t="str">
        <f t="shared" si="2"/>
        <v>3rd</v>
      </c>
    </row>
    <row r="166" spans="1:14" x14ac:dyDescent="0.35">
      <c r="A166" t="s">
        <v>177</v>
      </c>
      <c r="B166" t="s">
        <v>169</v>
      </c>
      <c r="C166">
        <v>4446964</v>
      </c>
      <c r="D166">
        <v>2021</v>
      </c>
      <c r="E166">
        <v>1059893</v>
      </c>
      <c r="F166">
        <v>1051102</v>
      </c>
      <c r="G166">
        <v>8727</v>
      </c>
      <c r="H166">
        <v>64</v>
      </c>
      <c r="I166">
        <v>3392660</v>
      </c>
      <c r="J166">
        <v>99.17</v>
      </c>
      <c r="K166">
        <v>0.82</v>
      </c>
      <c r="L166">
        <v>76.290000000000006</v>
      </c>
      <c r="M166">
        <v>7882622</v>
      </c>
      <c r="N166" t="str">
        <f t="shared" si="2"/>
        <v>3rd</v>
      </c>
    </row>
    <row r="167" spans="1:14" x14ac:dyDescent="0.35">
      <c r="A167" t="s">
        <v>178</v>
      </c>
      <c r="B167" t="s">
        <v>172</v>
      </c>
      <c r="C167">
        <v>9292169</v>
      </c>
      <c r="D167">
        <v>2021</v>
      </c>
      <c r="E167">
        <v>46864</v>
      </c>
      <c r="F167">
        <v>46168</v>
      </c>
      <c r="G167">
        <v>670</v>
      </c>
      <c r="H167">
        <v>26</v>
      </c>
      <c r="I167">
        <v>4918704</v>
      </c>
      <c r="J167">
        <v>98.51</v>
      </c>
      <c r="K167">
        <v>1.43</v>
      </c>
      <c r="L167">
        <v>52.93</v>
      </c>
      <c r="M167">
        <v>249149</v>
      </c>
      <c r="N167" t="str">
        <f t="shared" si="2"/>
        <v>4th</v>
      </c>
    </row>
    <row r="168" spans="1:14" x14ac:dyDescent="0.35">
      <c r="A168" t="s">
        <v>179</v>
      </c>
      <c r="B168" t="s">
        <v>210</v>
      </c>
      <c r="C168">
        <v>7305843</v>
      </c>
      <c r="D168">
        <v>2020</v>
      </c>
      <c r="E168">
        <v>837602</v>
      </c>
      <c r="F168">
        <v>235145.5</v>
      </c>
      <c r="G168">
        <v>20155</v>
      </c>
      <c r="H168">
        <v>582302</v>
      </c>
      <c r="I168">
        <v>5812485</v>
      </c>
      <c r="J168">
        <v>28.07</v>
      </c>
      <c r="K168">
        <v>2.41</v>
      </c>
      <c r="L168">
        <v>79.56</v>
      </c>
      <c r="M168">
        <v>2657506</v>
      </c>
      <c r="N168" t="str">
        <f t="shared" si="2"/>
        <v>3rd</v>
      </c>
    </row>
    <row r="169" spans="1:14" x14ac:dyDescent="0.35">
      <c r="A169" t="s">
        <v>180</v>
      </c>
      <c r="B169" t="s">
        <v>210</v>
      </c>
      <c r="C169">
        <v>33684208</v>
      </c>
      <c r="D169">
        <v>2022</v>
      </c>
      <c r="E169">
        <v>4572667</v>
      </c>
      <c r="F169">
        <v>4350506</v>
      </c>
      <c r="G169">
        <v>222161</v>
      </c>
      <c r="H169">
        <v>0</v>
      </c>
      <c r="I169">
        <v>20515451</v>
      </c>
      <c r="J169">
        <v>95.14</v>
      </c>
      <c r="K169">
        <v>4.8600000000000003</v>
      </c>
      <c r="L169">
        <v>60.91</v>
      </c>
      <c r="M169">
        <v>39010194</v>
      </c>
      <c r="N169" t="str">
        <f t="shared" si="2"/>
        <v>3rd</v>
      </c>
    </row>
    <row r="170" spans="1:14" x14ac:dyDescent="0.35">
      <c r="A170" t="s">
        <v>181</v>
      </c>
      <c r="B170" t="s">
        <v>24</v>
      </c>
      <c r="C170">
        <v>112508994</v>
      </c>
      <c r="D170">
        <v>2021</v>
      </c>
      <c r="E170">
        <v>4140383</v>
      </c>
      <c r="F170">
        <v>4067381</v>
      </c>
      <c r="G170">
        <v>66864</v>
      </c>
      <c r="H170">
        <v>6138</v>
      </c>
      <c r="I170">
        <v>86283795</v>
      </c>
      <c r="J170">
        <v>98.24</v>
      </c>
      <c r="K170">
        <v>1.61</v>
      </c>
      <c r="L170">
        <v>76.69</v>
      </c>
      <c r="M170">
        <v>36102746</v>
      </c>
      <c r="N170" t="str">
        <f t="shared" si="2"/>
        <v>3rd</v>
      </c>
    </row>
    <row r="171" spans="1:14" x14ac:dyDescent="0.35">
      <c r="A171" t="s">
        <v>182</v>
      </c>
      <c r="B171" t="s">
        <v>83</v>
      </c>
      <c r="C171">
        <v>37739785</v>
      </c>
      <c r="D171">
        <v>2021</v>
      </c>
      <c r="E171">
        <v>6661991</v>
      </c>
      <c r="F171">
        <v>235145.5</v>
      </c>
      <c r="G171">
        <v>120598</v>
      </c>
      <c r="H171">
        <v>6306248</v>
      </c>
      <c r="I171">
        <v>25196013</v>
      </c>
      <c r="J171">
        <v>3.53</v>
      </c>
      <c r="K171">
        <v>1.81</v>
      </c>
      <c r="L171">
        <v>66.760000000000005</v>
      </c>
      <c r="M171">
        <v>39323709</v>
      </c>
      <c r="N171" t="str">
        <f t="shared" si="2"/>
        <v>3rd</v>
      </c>
    </row>
    <row r="172" spans="1:14" x14ac:dyDescent="0.35">
      <c r="A172" t="s">
        <v>183</v>
      </c>
      <c r="B172" t="s">
        <v>83</v>
      </c>
      <c r="C172">
        <v>10140570</v>
      </c>
      <c r="D172">
        <v>2022</v>
      </c>
      <c r="E172">
        <v>5643062</v>
      </c>
      <c r="F172">
        <v>5614809</v>
      </c>
      <c r="G172">
        <v>28126</v>
      </c>
      <c r="H172">
        <v>127</v>
      </c>
      <c r="I172">
        <v>5643062</v>
      </c>
      <c r="J172">
        <v>99.5</v>
      </c>
      <c r="K172">
        <v>0.5</v>
      </c>
      <c r="L172">
        <v>55.65</v>
      </c>
      <c r="M172">
        <v>46139518</v>
      </c>
      <c r="N172" t="str">
        <f t="shared" si="2"/>
        <v>3rd</v>
      </c>
    </row>
    <row r="173" spans="1:14" x14ac:dyDescent="0.35">
      <c r="A173" t="s">
        <v>184</v>
      </c>
      <c r="B173" t="s">
        <v>24</v>
      </c>
      <c r="C173">
        <v>2979915</v>
      </c>
      <c r="D173">
        <v>2020</v>
      </c>
      <c r="E173">
        <v>514524</v>
      </c>
      <c r="F173">
        <v>513687</v>
      </c>
      <c r="G173">
        <v>690</v>
      </c>
      <c r="H173">
        <v>147</v>
      </c>
      <c r="I173">
        <v>2113834</v>
      </c>
      <c r="J173">
        <v>99.84</v>
      </c>
      <c r="K173">
        <v>0.13</v>
      </c>
      <c r="L173">
        <v>70.94</v>
      </c>
      <c r="M173">
        <v>4065369</v>
      </c>
      <c r="N173" t="str">
        <f t="shared" si="2"/>
        <v>3rd</v>
      </c>
    </row>
    <row r="174" spans="1:14" x14ac:dyDescent="0.35">
      <c r="A174" t="s">
        <v>185</v>
      </c>
      <c r="B174" t="s">
        <v>14</v>
      </c>
      <c r="C174">
        <v>908061</v>
      </c>
      <c r="D174">
        <v>2020</v>
      </c>
      <c r="E174">
        <v>494595</v>
      </c>
      <c r="F174">
        <v>235145.5</v>
      </c>
      <c r="G174">
        <v>921</v>
      </c>
      <c r="H174">
        <v>258528</v>
      </c>
      <c r="I174">
        <v>494595</v>
      </c>
      <c r="J174">
        <v>47.54</v>
      </c>
      <c r="K174">
        <v>0.19</v>
      </c>
      <c r="L174">
        <v>54.47</v>
      </c>
      <c r="M174">
        <v>1603660</v>
      </c>
      <c r="N174" t="str">
        <f t="shared" si="2"/>
        <v>3rd</v>
      </c>
    </row>
    <row r="175" spans="1:14" x14ac:dyDescent="0.35">
      <c r="A175" t="s">
        <v>186</v>
      </c>
      <c r="B175" t="s">
        <v>83</v>
      </c>
      <c r="C175">
        <v>19031335</v>
      </c>
      <c r="D175">
        <v>2023</v>
      </c>
      <c r="E175">
        <v>3529735</v>
      </c>
      <c r="F175">
        <v>3460149</v>
      </c>
      <c r="G175">
        <v>68929</v>
      </c>
      <c r="H175">
        <v>657</v>
      </c>
      <c r="I175">
        <v>13058892</v>
      </c>
      <c r="J175">
        <v>98.03</v>
      </c>
      <c r="K175">
        <v>1.95</v>
      </c>
      <c r="L175">
        <v>68.62</v>
      </c>
      <c r="M175">
        <v>28758667</v>
      </c>
      <c r="N175" t="str">
        <f t="shared" si="2"/>
        <v>3rd</v>
      </c>
    </row>
    <row r="176" spans="1:14" x14ac:dyDescent="0.35">
      <c r="A176" t="s">
        <v>187</v>
      </c>
      <c r="B176" t="s">
        <v>83</v>
      </c>
      <c r="C176">
        <v>145805947</v>
      </c>
      <c r="D176">
        <v>2020</v>
      </c>
      <c r="E176">
        <v>24124215</v>
      </c>
      <c r="F176">
        <v>23545818</v>
      </c>
      <c r="G176">
        <v>402756</v>
      </c>
      <c r="H176">
        <v>175641</v>
      </c>
      <c r="I176">
        <v>113660197</v>
      </c>
      <c r="J176">
        <v>97.6</v>
      </c>
      <c r="K176">
        <v>1.67</v>
      </c>
      <c r="L176">
        <v>77.95</v>
      </c>
      <c r="M176">
        <v>273400000</v>
      </c>
      <c r="N176" t="str">
        <f t="shared" si="2"/>
        <v>2nd</v>
      </c>
    </row>
    <row r="177" spans="1:14" x14ac:dyDescent="0.35">
      <c r="A177" t="s">
        <v>188</v>
      </c>
      <c r="B177" t="s">
        <v>14</v>
      </c>
      <c r="C177">
        <v>13600464</v>
      </c>
      <c r="D177">
        <v>2021</v>
      </c>
      <c r="E177">
        <v>133518</v>
      </c>
      <c r="F177">
        <v>132039</v>
      </c>
      <c r="G177">
        <v>1468</v>
      </c>
      <c r="H177">
        <v>11</v>
      </c>
      <c r="I177">
        <v>8656556</v>
      </c>
      <c r="J177">
        <v>98.89</v>
      </c>
      <c r="K177">
        <v>1.1000000000000001</v>
      </c>
      <c r="L177">
        <v>63.65</v>
      </c>
      <c r="M177">
        <v>6021981</v>
      </c>
      <c r="N177" t="str">
        <f t="shared" si="2"/>
        <v>3rd</v>
      </c>
    </row>
    <row r="178" spans="1:14" x14ac:dyDescent="0.35">
      <c r="A178" t="s">
        <v>189</v>
      </c>
      <c r="B178" t="s">
        <v>24</v>
      </c>
      <c r="C178">
        <v>51329899</v>
      </c>
      <c r="D178">
        <v>2022</v>
      </c>
      <c r="E178">
        <v>34571873</v>
      </c>
      <c r="F178">
        <v>34535939</v>
      </c>
      <c r="G178">
        <v>35934</v>
      </c>
      <c r="H178">
        <v>0</v>
      </c>
      <c r="I178">
        <v>34571873</v>
      </c>
      <c r="J178">
        <v>99.9</v>
      </c>
      <c r="K178">
        <v>0.1</v>
      </c>
      <c r="L178">
        <v>67.349999999999994</v>
      </c>
      <c r="M178">
        <v>15804065</v>
      </c>
      <c r="N178" t="str">
        <f t="shared" si="2"/>
        <v>2nd</v>
      </c>
    </row>
    <row r="179" spans="1:14" x14ac:dyDescent="0.35">
      <c r="A179" t="s">
        <v>190</v>
      </c>
      <c r="B179" t="s">
        <v>14</v>
      </c>
      <c r="C179">
        <v>6115</v>
      </c>
      <c r="D179">
        <v>2022</v>
      </c>
      <c r="E179">
        <v>2166</v>
      </c>
      <c r="F179">
        <v>2</v>
      </c>
      <c r="G179">
        <v>2570</v>
      </c>
      <c r="H179">
        <v>0</v>
      </c>
      <c r="I179">
        <v>3816</v>
      </c>
      <c r="J179">
        <v>0.09</v>
      </c>
      <c r="K179">
        <v>118.65</v>
      </c>
      <c r="L179">
        <v>62.4</v>
      </c>
      <c r="M179">
        <v>2226216</v>
      </c>
      <c r="N179" t="str">
        <f t="shared" si="2"/>
        <v>5th</v>
      </c>
    </row>
    <row r="180" spans="1:14" x14ac:dyDescent="0.35">
      <c r="A180" t="s">
        <v>191</v>
      </c>
      <c r="B180" t="s">
        <v>169</v>
      </c>
      <c r="C180">
        <v>53871</v>
      </c>
      <c r="D180">
        <v>2021</v>
      </c>
      <c r="E180">
        <v>6607</v>
      </c>
      <c r="F180">
        <v>6559</v>
      </c>
      <c r="G180">
        <v>48</v>
      </c>
      <c r="H180">
        <v>0</v>
      </c>
      <c r="I180">
        <v>43971</v>
      </c>
      <c r="J180">
        <v>99.27</v>
      </c>
      <c r="K180">
        <v>0.73</v>
      </c>
      <c r="L180">
        <v>81.62</v>
      </c>
      <c r="M180">
        <v>126958</v>
      </c>
      <c r="N180" t="str">
        <f t="shared" si="2"/>
        <v>4th</v>
      </c>
    </row>
    <row r="181" spans="1:14" x14ac:dyDescent="0.35">
      <c r="A181" t="s">
        <v>192</v>
      </c>
      <c r="B181" t="s">
        <v>169</v>
      </c>
      <c r="C181">
        <v>185113</v>
      </c>
      <c r="D181">
        <v>2022</v>
      </c>
      <c r="E181">
        <v>30215</v>
      </c>
      <c r="F181">
        <v>29805</v>
      </c>
      <c r="G181">
        <v>410</v>
      </c>
      <c r="H181">
        <v>0</v>
      </c>
      <c r="I181">
        <v>108646</v>
      </c>
      <c r="J181">
        <v>98.64</v>
      </c>
      <c r="K181">
        <v>1.36</v>
      </c>
      <c r="L181">
        <v>58.69</v>
      </c>
      <c r="M181">
        <v>210983</v>
      </c>
      <c r="N181" t="str">
        <f t="shared" si="2"/>
        <v>4th</v>
      </c>
    </row>
    <row r="182" spans="1:14" x14ac:dyDescent="0.35">
      <c r="A182" t="s">
        <v>193</v>
      </c>
      <c r="B182" t="s">
        <v>169</v>
      </c>
      <c r="C182">
        <v>39730</v>
      </c>
      <c r="D182">
        <v>2020</v>
      </c>
      <c r="E182">
        <v>12324</v>
      </c>
      <c r="F182">
        <v>235145.5</v>
      </c>
      <c r="G182">
        <v>63</v>
      </c>
      <c r="H182">
        <v>0</v>
      </c>
      <c r="I182">
        <v>26464</v>
      </c>
      <c r="J182">
        <v>1908.03</v>
      </c>
      <c r="K182">
        <v>0.51</v>
      </c>
      <c r="L182">
        <v>66.61</v>
      </c>
      <c r="M182">
        <v>112382</v>
      </c>
      <c r="N182" t="str">
        <f t="shared" si="2"/>
        <v>4th</v>
      </c>
    </row>
    <row r="183" spans="1:14" x14ac:dyDescent="0.35">
      <c r="A183" t="s">
        <v>194</v>
      </c>
      <c r="B183" t="s">
        <v>169</v>
      </c>
      <c r="C183">
        <v>5759</v>
      </c>
      <c r="D183">
        <v>2022</v>
      </c>
      <c r="E183">
        <v>3452</v>
      </c>
      <c r="F183">
        <v>2449</v>
      </c>
      <c r="G183">
        <v>2</v>
      </c>
      <c r="H183">
        <v>1001</v>
      </c>
      <c r="I183">
        <v>4273</v>
      </c>
      <c r="J183">
        <v>70.94</v>
      </c>
      <c r="K183">
        <v>0.06</v>
      </c>
      <c r="L183">
        <v>74.2</v>
      </c>
      <c r="M183">
        <v>25400</v>
      </c>
      <c r="N183" t="str">
        <f t="shared" si="2"/>
        <v>5th</v>
      </c>
    </row>
    <row r="184" spans="1:14" x14ac:dyDescent="0.35">
      <c r="A184" t="s">
        <v>195</v>
      </c>
      <c r="B184" t="s">
        <v>172</v>
      </c>
      <c r="C184">
        <v>202239</v>
      </c>
      <c r="D184">
        <v>2020</v>
      </c>
      <c r="E184">
        <v>17006</v>
      </c>
      <c r="F184">
        <v>1605</v>
      </c>
      <c r="G184">
        <v>31</v>
      </c>
      <c r="H184">
        <v>15370</v>
      </c>
      <c r="I184">
        <v>178707</v>
      </c>
      <c r="J184">
        <v>9.44</v>
      </c>
      <c r="K184">
        <v>0.18</v>
      </c>
      <c r="L184">
        <v>88.36</v>
      </c>
      <c r="M184">
        <v>187397</v>
      </c>
      <c r="N184" t="str">
        <f t="shared" si="2"/>
        <v>4th</v>
      </c>
    </row>
    <row r="185" spans="1:14" x14ac:dyDescent="0.35">
      <c r="A185" t="s">
        <v>196</v>
      </c>
      <c r="B185" t="s">
        <v>83</v>
      </c>
      <c r="C185">
        <v>34085</v>
      </c>
      <c r="D185">
        <v>2021</v>
      </c>
      <c r="E185">
        <v>26185</v>
      </c>
      <c r="F185">
        <v>26011</v>
      </c>
      <c r="G185">
        <v>128</v>
      </c>
      <c r="H185">
        <v>46</v>
      </c>
      <c r="I185">
        <v>26185</v>
      </c>
      <c r="J185">
        <v>99.34</v>
      </c>
      <c r="K185">
        <v>0.49</v>
      </c>
      <c r="L185">
        <v>76.819999999999993</v>
      </c>
      <c r="M185">
        <v>196855</v>
      </c>
      <c r="N185" t="str">
        <f t="shared" si="2"/>
        <v>4th</v>
      </c>
    </row>
    <row r="186" spans="1:14" x14ac:dyDescent="0.35">
      <c r="A186" t="s">
        <v>197</v>
      </c>
      <c r="B186" t="s">
        <v>14</v>
      </c>
      <c r="C186">
        <v>227679</v>
      </c>
      <c r="D186">
        <v>2023</v>
      </c>
      <c r="E186">
        <v>6778</v>
      </c>
      <c r="F186">
        <v>6685</v>
      </c>
      <c r="G186">
        <v>80</v>
      </c>
      <c r="H186">
        <v>13</v>
      </c>
      <c r="I186">
        <v>200313</v>
      </c>
      <c r="J186">
        <v>98.63</v>
      </c>
      <c r="K186">
        <v>1.18</v>
      </c>
      <c r="L186">
        <v>87.98</v>
      </c>
      <c r="M186">
        <v>29600</v>
      </c>
      <c r="N186" t="str">
        <f t="shared" si="2"/>
        <v>4th</v>
      </c>
    </row>
    <row r="187" spans="1:14" x14ac:dyDescent="0.35">
      <c r="A187" t="s">
        <v>198</v>
      </c>
      <c r="B187" t="s">
        <v>24</v>
      </c>
      <c r="C187">
        <v>35844909</v>
      </c>
      <c r="D187">
        <v>2021</v>
      </c>
      <c r="E187">
        <v>841469</v>
      </c>
      <c r="F187">
        <v>235145.5</v>
      </c>
      <c r="G187">
        <v>9646</v>
      </c>
      <c r="H187">
        <v>596678</v>
      </c>
      <c r="I187">
        <v>19267758</v>
      </c>
      <c r="J187">
        <v>27.94</v>
      </c>
      <c r="K187">
        <v>1.1499999999999999</v>
      </c>
      <c r="L187">
        <v>53.75</v>
      </c>
      <c r="M187">
        <v>45481735</v>
      </c>
      <c r="N187" t="str">
        <f t="shared" si="2"/>
        <v>3rd</v>
      </c>
    </row>
    <row r="188" spans="1:14" x14ac:dyDescent="0.35">
      <c r="A188" t="s">
        <v>199</v>
      </c>
      <c r="B188" t="s">
        <v>14</v>
      </c>
      <c r="C188">
        <v>17653671</v>
      </c>
      <c r="D188">
        <v>2020</v>
      </c>
      <c r="E188">
        <v>89053</v>
      </c>
      <c r="F188">
        <v>87024</v>
      </c>
      <c r="G188">
        <v>1971</v>
      </c>
      <c r="H188">
        <v>58</v>
      </c>
      <c r="I188">
        <v>8694967</v>
      </c>
      <c r="J188">
        <v>97.72</v>
      </c>
      <c r="K188">
        <v>2.21</v>
      </c>
      <c r="L188">
        <v>49.25</v>
      </c>
      <c r="M188">
        <v>1146543</v>
      </c>
      <c r="N188" t="str">
        <f t="shared" si="2"/>
        <v>3rd</v>
      </c>
    </row>
    <row r="189" spans="1:14" x14ac:dyDescent="0.35">
      <c r="A189" t="s">
        <v>200</v>
      </c>
      <c r="B189" t="s">
        <v>83</v>
      </c>
      <c r="C189">
        <v>8653016</v>
      </c>
      <c r="D189">
        <v>2022</v>
      </c>
      <c r="E189">
        <v>2615054</v>
      </c>
      <c r="F189">
        <v>2596608</v>
      </c>
      <c r="G189">
        <v>18057</v>
      </c>
      <c r="H189">
        <v>389</v>
      </c>
      <c r="I189">
        <v>5033110</v>
      </c>
      <c r="J189">
        <v>99.29</v>
      </c>
      <c r="K189">
        <v>0.69</v>
      </c>
      <c r="L189">
        <v>58.17</v>
      </c>
      <c r="M189">
        <v>13463733</v>
      </c>
      <c r="N189" t="str">
        <f t="shared" si="2"/>
        <v>3rd</v>
      </c>
    </row>
    <row r="190" spans="1:14" x14ac:dyDescent="0.35">
      <c r="A190" t="s">
        <v>201</v>
      </c>
      <c r="B190" t="s">
        <v>14</v>
      </c>
      <c r="C190">
        <v>99426</v>
      </c>
      <c r="D190">
        <v>2022</v>
      </c>
      <c r="E190">
        <v>51220</v>
      </c>
      <c r="F190">
        <v>51048</v>
      </c>
      <c r="G190">
        <v>172</v>
      </c>
      <c r="H190">
        <v>0</v>
      </c>
      <c r="I190">
        <v>88138</v>
      </c>
      <c r="J190">
        <v>99.66</v>
      </c>
      <c r="K190">
        <v>0.34</v>
      </c>
      <c r="L190">
        <v>88.65</v>
      </c>
      <c r="M190">
        <v>2226216</v>
      </c>
      <c r="N190" t="str">
        <f t="shared" si="2"/>
        <v>3rd</v>
      </c>
    </row>
    <row r="191" spans="1:14" x14ac:dyDescent="0.35">
      <c r="A191" t="s">
        <v>202</v>
      </c>
      <c r="B191" t="s">
        <v>14</v>
      </c>
      <c r="C191">
        <v>8306436</v>
      </c>
      <c r="D191">
        <v>2023</v>
      </c>
      <c r="E191">
        <v>7779</v>
      </c>
      <c r="F191">
        <v>235145.5</v>
      </c>
      <c r="G191">
        <v>126</v>
      </c>
      <c r="H191">
        <v>0</v>
      </c>
      <c r="I191">
        <v>4975474</v>
      </c>
      <c r="J191">
        <v>3022.82</v>
      </c>
      <c r="K191">
        <v>1.62</v>
      </c>
      <c r="L191">
        <v>59.9</v>
      </c>
      <c r="M191">
        <v>259958</v>
      </c>
      <c r="N191" t="str">
        <f t="shared" si="2"/>
        <v>4th</v>
      </c>
    </row>
    <row r="192" spans="1:14" x14ac:dyDescent="0.35">
      <c r="A192" t="s">
        <v>203</v>
      </c>
      <c r="B192" t="s">
        <v>24</v>
      </c>
      <c r="C192">
        <v>5943546</v>
      </c>
      <c r="D192">
        <v>2020</v>
      </c>
      <c r="E192">
        <v>3006155</v>
      </c>
      <c r="F192">
        <v>3004131</v>
      </c>
      <c r="G192">
        <v>2024</v>
      </c>
      <c r="H192">
        <v>0</v>
      </c>
      <c r="I192">
        <v>3006155</v>
      </c>
      <c r="J192">
        <v>99.93</v>
      </c>
      <c r="K192">
        <v>7.0000000000000007E-2</v>
      </c>
      <c r="L192">
        <v>50.58</v>
      </c>
      <c r="M192">
        <v>24756666</v>
      </c>
      <c r="N192" t="str">
        <f t="shared" si="2"/>
        <v>3rd</v>
      </c>
    </row>
    <row r="193" spans="1:14" x14ac:dyDescent="0.35">
      <c r="A193" t="s">
        <v>204</v>
      </c>
      <c r="B193" t="s">
        <v>169</v>
      </c>
      <c r="C193">
        <v>43966</v>
      </c>
      <c r="D193">
        <v>2020</v>
      </c>
      <c r="E193">
        <v>11051</v>
      </c>
      <c r="F193">
        <v>10905</v>
      </c>
      <c r="G193">
        <v>92</v>
      </c>
      <c r="H193">
        <v>54</v>
      </c>
      <c r="I193">
        <v>36270</v>
      </c>
      <c r="J193">
        <v>98.68</v>
      </c>
      <c r="K193">
        <v>0.83</v>
      </c>
      <c r="L193">
        <v>82.5</v>
      </c>
      <c r="M193">
        <v>62056</v>
      </c>
      <c r="N193" t="str">
        <f t="shared" si="2"/>
        <v>4th</v>
      </c>
    </row>
    <row r="194" spans="1:14" x14ac:dyDescent="0.35">
      <c r="A194" t="s">
        <v>205</v>
      </c>
      <c r="B194" t="s">
        <v>83</v>
      </c>
      <c r="C194">
        <v>5460193</v>
      </c>
      <c r="D194">
        <v>2020</v>
      </c>
      <c r="E194">
        <v>1877605</v>
      </c>
      <c r="F194">
        <v>1856381</v>
      </c>
      <c r="G194">
        <v>21224</v>
      </c>
      <c r="H194">
        <v>0</v>
      </c>
      <c r="I194">
        <v>3610887</v>
      </c>
      <c r="J194">
        <v>98.87</v>
      </c>
      <c r="K194">
        <v>1.1299999999999999</v>
      </c>
      <c r="L194">
        <v>66.13</v>
      </c>
      <c r="M194">
        <v>7448789</v>
      </c>
      <c r="N194" t="str">
        <f t="shared" si="2"/>
        <v>3rd</v>
      </c>
    </row>
    <row r="195" spans="1:14" x14ac:dyDescent="0.35">
      <c r="A195" t="s">
        <v>206</v>
      </c>
      <c r="B195" t="s">
        <v>83</v>
      </c>
      <c r="C195">
        <v>2078034</v>
      </c>
      <c r="D195">
        <v>2023</v>
      </c>
      <c r="E195">
        <v>1356546</v>
      </c>
      <c r="F195">
        <v>1349424</v>
      </c>
      <c r="G195">
        <v>7100</v>
      </c>
      <c r="H195">
        <v>22</v>
      </c>
      <c r="I195">
        <v>1356546</v>
      </c>
      <c r="J195">
        <v>99.47</v>
      </c>
      <c r="K195">
        <v>0.52</v>
      </c>
      <c r="L195">
        <v>65.28</v>
      </c>
      <c r="M195">
        <v>2847701</v>
      </c>
      <c r="N195" t="str">
        <f t="shared" ref="N195:N238" si="3">IF(E195&gt;=100000000,"1st",IF(E195&gt;=10000000,"2nd",IF(E195&gt;=50000,"3rd",IF(E195&gt;=5000,"4th",IF(E195&lt;=5000,"5th")))))</f>
        <v>3rd</v>
      </c>
    </row>
    <row r="196" spans="1:14" x14ac:dyDescent="0.35">
      <c r="A196" t="s">
        <v>207</v>
      </c>
      <c r="B196" t="s">
        <v>172</v>
      </c>
      <c r="C196">
        <v>721159</v>
      </c>
      <c r="D196">
        <v>2023</v>
      </c>
      <c r="E196">
        <v>25954</v>
      </c>
      <c r="F196">
        <v>235145.5</v>
      </c>
      <c r="G196">
        <v>199</v>
      </c>
      <c r="H196">
        <v>0</v>
      </c>
      <c r="I196">
        <v>674426</v>
      </c>
      <c r="J196">
        <v>906.01</v>
      </c>
      <c r="K196">
        <v>0.77</v>
      </c>
      <c r="L196">
        <v>93.52</v>
      </c>
      <c r="M196">
        <v>2226216</v>
      </c>
      <c r="N196" t="str">
        <f t="shared" si="3"/>
        <v>4th</v>
      </c>
    </row>
    <row r="197" spans="1:14" x14ac:dyDescent="0.35">
      <c r="A197" t="s">
        <v>208</v>
      </c>
      <c r="B197" t="s">
        <v>14</v>
      </c>
      <c r="C197">
        <v>16841795</v>
      </c>
      <c r="D197">
        <v>2022</v>
      </c>
      <c r="E197">
        <v>27334</v>
      </c>
      <c r="F197">
        <v>13182</v>
      </c>
      <c r="G197">
        <v>1361</v>
      </c>
      <c r="H197">
        <v>12791</v>
      </c>
      <c r="I197">
        <v>11196105</v>
      </c>
      <c r="J197">
        <v>48.23</v>
      </c>
      <c r="K197">
        <v>4.9800000000000004</v>
      </c>
      <c r="L197">
        <v>66.48</v>
      </c>
      <c r="M197">
        <v>400466</v>
      </c>
      <c r="N197" t="str">
        <f t="shared" si="3"/>
        <v>4th</v>
      </c>
    </row>
    <row r="198" spans="1:14" x14ac:dyDescent="0.35">
      <c r="A198" t="s">
        <v>209</v>
      </c>
      <c r="B198" t="s">
        <v>14</v>
      </c>
      <c r="C198">
        <v>60756135</v>
      </c>
      <c r="D198">
        <v>2023</v>
      </c>
      <c r="E198">
        <v>4076463</v>
      </c>
      <c r="F198">
        <v>3912506</v>
      </c>
      <c r="G198">
        <v>102595</v>
      </c>
      <c r="H198">
        <v>61362</v>
      </c>
      <c r="I198">
        <v>37034036</v>
      </c>
      <c r="J198">
        <v>95.98</v>
      </c>
      <c r="K198">
        <v>2.52</v>
      </c>
      <c r="L198">
        <v>60.96</v>
      </c>
      <c r="M198">
        <v>26795090</v>
      </c>
      <c r="N198" t="str">
        <f t="shared" si="3"/>
        <v>3rd</v>
      </c>
    </row>
    <row r="199" spans="1:14" x14ac:dyDescent="0.35">
      <c r="A199" t="s">
        <v>210</v>
      </c>
      <c r="B199" t="s">
        <v>210</v>
      </c>
      <c r="C199">
        <v>5797805</v>
      </c>
      <c r="D199">
        <v>2020</v>
      </c>
      <c r="E199">
        <v>70200879</v>
      </c>
      <c r="F199">
        <v>66683585</v>
      </c>
      <c r="G199">
        <v>1367332</v>
      </c>
      <c r="H199">
        <v>2149962</v>
      </c>
      <c r="I199">
        <v>5797805</v>
      </c>
      <c r="J199">
        <v>94.99</v>
      </c>
      <c r="K199">
        <v>1.95</v>
      </c>
      <c r="L199">
        <v>100</v>
      </c>
      <c r="M199">
        <v>2226216</v>
      </c>
      <c r="N199" t="str">
        <f t="shared" si="3"/>
        <v>2nd</v>
      </c>
    </row>
    <row r="200" spans="1:14" x14ac:dyDescent="0.35">
      <c r="A200" t="s">
        <v>211</v>
      </c>
      <c r="B200" t="s">
        <v>14</v>
      </c>
      <c r="C200">
        <v>11618511</v>
      </c>
      <c r="D200">
        <v>2020</v>
      </c>
      <c r="E200">
        <v>18819</v>
      </c>
      <c r="F200">
        <v>18115</v>
      </c>
      <c r="G200">
        <v>147</v>
      </c>
      <c r="H200">
        <v>557</v>
      </c>
      <c r="I200">
        <v>10108506</v>
      </c>
      <c r="J200">
        <v>96.26</v>
      </c>
      <c r="K200">
        <v>0.78</v>
      </c>
      <c r="L200">
        <v>87</v>
      </c>
      <c r="M200">
        <v>410280</v>
      </c>
      <c r="N200" t="str">
        <f t="shared" si="3"/>
        <v>4th</v>
      </c>
    </row>
    <row r="201" spans="1:14" x14ac:dyDescent="0.35">
      <c r="A201" t="s">
        <v>212</v>
      </c>
      <c r="B201" t="s">
        <v>83</v>
      </c>
      <c r="C201">
        <v>46719142</v>
      </c>
      <c r="D201">
        <v>2023</v>
      </c>
      <c r="E201">
        <v>13914811</v>
      </c>
      <c r="F201">
        <v>13762417</v>
      </c>
      <c r="G201">
        <v>121760</v>
      </c>
      <c r="H201">
        <v>30634</v>
      </c>
      <c r="I201">
        <v>39156061</v>
      </c>
      <c r="J201">
        <v>98.9</v>
      </c>
      <c r="K201">
        <v>0.88</v>
      </c>
      <c r="L201">
        <v>83.81</v>
      </c>
      <c r="M201">
        <v>471036328</v>
      </c>
      <c r="N201" t="str">
        <f t="shared" si="3"/>
        <v>2nd</v>
      </c>
    </row>
    <row r="202" spans="1:14" x14ac:dyDescent="0.35">
      <c r="A202" t="s">
        <v>213</v>
      </c>
      <c r="B202" t="s">
        <v>24</v>
      </c>
      <c r="C202">
        <v>21575842</v>
      </c>
      <c r="D202">
        <v>2020</v>
      </c>
      <c r="E202">
        <v>672754</v>
      </c>
      <c r="F202">
        <v>655852</v>
      </c>
      <c r="G202">
        <v>16897</v>
      </c>
      <c r="H202">
        <v>5</v>
      </c>
      <c r="I202">
        <v>10652333</v>
      </c>
      <c r="J202">
        <v>97.49</v>
      </c>
      <c r="K202">
        <v>2.5099999999999998</v>
      </c>
      <c r="L202">
        <v>49.37</v>
      </c>
      <c r="M202">
        <v>6486117</v>
      </c>
      <c r="N202" t="str">
        <f t="shared" si="3"/>
        <v>3rd</v>
      </c>
    </row>
    <row r="203" spans="1:14" x14ac:dyDescent="0.35">
      <c r="A203" t="s">
        <v>214</v>
      </c>
      <c r="B203" t="s">
        <v>169</v>
      </c>
      <c r="C203">
        <v>9945</v>
      </c>
      <c r="D203">
        <v>2021</v>
      </c>
      <c r="E203">
        <v>5507</v>
      </c>
      <c r="F203">
        <v>235145.5</v>
      </c>
      <c r="G203">
        <v>6</v>
      </c>
      <c r="H203">
        <v>0</v>
      </c>
      <c r="I203">
        <v>8509</v>
      </c>
      <c r="J203">
        <v>4269.9399999999996</v>
      </c>
      <c r="K203">
        <v>0.11</v>
      </c>
      <c r="L203">
        <v>85.56</v>
      </c>
      <c r="M203">
        <v>78646</v>
      </c>
      <c r="N203" t="str">
        <f t="shared" si="3"/>
        <v>4th</v>
      </c>
    </row>
    <row r="204" spans="1:14" x14ac:dyDescent="0.35">
      <c r="A204" t="s">
        <v>215</v>
      </c>
      <c r="B204" t="s">
        <v>169</v>
      </c>
      <c r="C204">
        <v>111551</v>
      </c>
      <c r="D204">
        <v>2020</v>
      </c>
      <c r="E204">
        <v>9674</v>
      </c>
      <c r="F204">
        <v>9493</v>
      </c>
      <c r="G204">
        <v>124</v>
      </c>
      <c r="H204">
        <v>57</v>
      </c>
      <c r="I204">
        <v>55906</v>
      </c>
      <c r="J204">
        <v>98.13</v>
      </c>
      <c r="K204">
        <v>1.28</v>
      </c>
      <c r="L204">
        <v>50.12</v>
      </c>
      <c r="M204">
        <v>114197</v>
      </c>
      <c r="N204" t="str">
        <f t="shared" si="3"/>
        <v>4th</v>
      </c>
    </row>
    <row r="205" spans="1:14" x14ac:dyDescent="0.35">
      <c r="A205" t="s">
        <v>216</v>
      </c>
      <c r="B205" t="s">
        <v>14</v>
      </c>
      <c r="C205">
        <v>45992020</v>
      </c>
      <c r="D205">
        <v>2021</v>
      </c>
      <c r="E205">
        <v>63993</v>
      </c>
      <c r="F205">
        <v>58947</v>
      </c>
      <c r="G205">
        <v>5046</v>
      </c>
      <c r="H205">
        <v>0</v>
      </c>
      <c r="I205">
        <v>34580347</v>
      </c>
      <c r="J205">
        <v>92.11</v>
      </c>
      <c r="K205">
        <v>7.89</v>
      </c>
      <c r="L205">
        <v>75.19</v>
      </c>
      <c r="M205">
        <v>562941</v>
      </c>
      <c r="N205" t="str">
        <f t="shared" si="3"/>
        <v>3rd</v>
      </c>
    </row>
    <row r="206" spans="1:14" x14ac:dyDescent="0.35">
      <c r="A206" t="s">
        <v>217</v>
      </c>
      <c r="B206" t="s">
        <v>210</v>
      </c>
      <c r="C206">
        <v>596831</v>
      </c>
      <c r="D206">
        <v>2022</v>
      </c>
      <c r="E206">
        <v>82588</v>
      </c>
      <c r="F206">
        <v>235145.5</v>
      </c>
      <c r="G206">
        <v>1408</v>
      </c>
      <c r="H206">
        <v>0</v>
      </c>
      <c r="I206">
        <v>534107</v>
      </c>
      <c r="J206">
        <v>284.72000000000003</v>
      </c>
      <c r="K206">
        <v>1.7</v>
      </c>
      <c r="L206">
        <v>89.49</v>
      </c>
      <c r="M206">
        <v>242207</v>
      </c>
      <c r="N206" t="str">
        <f t="shared" si="3"/>
        <v>3rd</v>
      </c>
    </row>
    <row r="207" spans="1:14" x14ac:dyDescent="0.35">
      <c r="A207" t="s">
        <v>218</v>
      </c>
      <c r="B207" t="s">
        <v>83</v>
      </c>
      <c r="C207">
        <v>10218971</v>
      </c>
      <c r="D207">
        <v>2021</v>
      </c>
      <c r="E207">
        <v>2754129</v>
      </c>
      <c r="F207">
        <v>2726492</v>
      </c>
      <c r="G207">
        <v>27407</v>
      </c>
      <c r="H207">
        <v>230</v>
      </c>
      <c r="I207">
        <v>4918801</v>
      </c>
      <c r="J207">
        <v>99</v>
      </c>
      <c r="K207">
        <v>1</v>
      </c>
      <c r="L207">
        <v>48.13</v>
      </c>
      <c r="M207">
        <v>19500873</v>
      </c>
      <c r="N207" t="str">
        <f t="shared" si="3"/>
        <v>3rd</v>
      </c>
    </row>
    <row r="208" spans="1:14" x14ac:dyDescent="0.35">
      <c r="A208" t="s">
        <v>219</v>
      </c>
      <c r="B208" t="s">
        <v>83</v>
      </c>
      <c r="C208">
        <v>8773637</v>
      </c>
      <c r="D208">
        <v>2021</v>
      </c>
      <c r="E208">
        <v>4453053</v>
      </c>
      <c r="F208">
        <v>4438309</v>
      </c>
      <c r="G208">
        <v>14452</v>
      </c>
      <c r="H208">
        <v>292</v>
      </c>
      <c r="I208">
        <v>6339394</v>
      </c>
      <c r="J208">
        <v>99.67</v>
      </c>
      <c r="K208">
        <v>0.32</v>
      </c>
      <c r="L208">
        <v>72.260000000000005</v>
      </c>
      <c r="M208">
        <v>23833472</v>
      </c>
      <c r="N208" t="str">
        <f t="shared" si="3"/>
        <v>3rd</v>
      </c>
    </row>
    <row r="209" spans="1:14" x14ac:dyDescent="0.35">
      <c r="A209" t="s">
        <v>220</v>
      </c>
      <c r="B209" t="s">
        <v>24</v>
      </c>
      <c r="C209">
        <v>19364809</v>
      </c>
      <c r="D209">
        <v>2021</v>
      </c>
      <c r="E209">
        <v>57743</v>
      </c>
      <c r="F209">
        <v>54578</v>
      </c>
      <c r="G209">
        <v>3165</v>
      </c>
      <c r="H209">
        <v>0</v>
      </c>
      <c r="I209">
        <v>11415676</v>
      </c>
      <c r="J209">
        <v>94.52</v>
      </c>
      <c r="K209">
        <v>5.48</v>
      </c>
      <c r="L209">
        <v>58.95</v>
      </c>
      <c r="M209">
        <v>146269</v>
      </c>
      <c r="N209" t="str">
        <f t="shared" si="3"/>
        <v>3rd</v>
      </c>
    </row>
    <row r="210" spans="1:14" x14ac:dyDescent="0.35">
      <c r="A210" t="s">
        <v>221</v>
      </c>
      <c r="B210" t="s">
        <v>24</v>
      </c>
      <c r="C210">
        <v>23888595</v>
      </c>
      <c r="D210">
        <v>2020</v>
      </c>
      <c r="E210">
        <v>10241523</v>
      </c>
      <c r="F210">
        <v>10222518</v>
      </c>
      <c r="G210">
        <v>19005</v>
      </c>
      <c r="H210">
        <v>0</v>
      </c>
      <c r="I210">
        <v>13674432</v>
      </c>
      <c r="J210">
        <v>99.81</v>
      </c>
      <c r="K210">
        <v>0.19</v>
      </c>
      <c r="L210">
        <v>57.24</v>
      </c>
      <c r="M210">
        <v>30742304</v>
      </c>
      <c r="N210" t="str">
        <f t="shared" si="3"/>
        <v>2nd</v>
      </c>
    </row>
    <row r="211" spans="1:14" x14ac:dyDescent="0.35">
      <c r="A211" t="s">
        <v>222</v>
      </c>
      <c r="B211" t="s">
        <v>24</v>
      </c>
      <c r="C211">
        <v>9957464</v>
      </c>
      <c r="D211">
        <v>2020</v>
      </c>
      <c r="E211">
        <v>17786</v>
      </c>
      <c r="F211">
        <v>17264</v>
      </c>
      <c r="G211">
        <v>125</v>
      </c>
      <c r="H211">
        <v>397</v>
      </c>
      <c r="I211">
        <v>7516543</v>
      </c>
      <c r="J211">
        <v>97.07</v>
      </c>
      <c r="K211">
        <v>0.7</v>
      </c>
      <c r="L211">
        <v>75.489999999999995</v>
      </c>
      <c r="M211">
        <v>2226216</v>
      </c>
      <c r="N211" t="str">
        <f t="shared" si="3"/>
        <v>4th</v>
      </c>
    </row>
    <row r="212" spans="1:14" x14ac:dyDescent="0.35">
      <c r="A212" t="s">
        <v>223</v>
      </c>
      <c r="B212" t="s">
        <v>14</v>
      </c>
      <c r="C212">
        <v>63298550</v>
      </c>
      <c r="D212">
        <v>2022</v>
      </c>
      <c r="E212">
        <v>43223</v>
      </c>
      <c r="F212">
        <v>235145.5</v>
      </c>
      <c r="G212">
        <v>846</v>
      </c>
      <c r="H212">
        <v>0</v>
      </c>
      <c r="I212">
        <v>29995551</v>
      </c>
      <c r="J212">
        <v>544.03</v>
      </c>
      <c r="K212">
        <v>1.96</v>
      </c>
      <c r="L212">
        <v>47.39</v>
      </c>
      <c r="M212">
        <v>2226216</v>
      </c>
      <c r="N212" t="str">
        <f t="shared" si="3"/>
        <v>4th</v>
      </c>
    </row>
    <row r="213" spans="1:14" x14ac:dyDescent="0.35">
      <c r="A213" t="s">
        <v>224</v>
      </c>
      <c r="B213" t="s">
        <v>24</v>
      </c>
      <c r="C213">
        <v>70078203</v>
      </c>
      <c r="D213">
        <v>2022</v>
      </c>
      <c r="E213">
        <v>4770149</v>
      </c>
      <c r="F213">
        <v>4692636</v>
      </c>
      <c r="G213">
        <v>34586</v>
      </c>
      <c r="H213">
        <v>42927</v>
      </c>
      <c r="I213">
        <v>59556859</v>
      </c>
      <c r="J213">
        <v>98.38</v>
      </c>
      <c r="K213">
        <v>0.73</v>
      </c>
      <c r="L213">
        <v>84.99</v>
      </c>
      <c r="M213">
        <v>17273454</v>
      </c>
      <c r="N213" t="str">
        <f t="shared" si="3"/>
        <v>3rd</v>
      </c>
    </row>
    <row r="214" spans="1:14" x14ac:dyDescent="0.35">
      <c r="A214" t="s">
        <v>225</v>
      </c>
      <c r="B214" t="s">
        <v>24</v>
      </c>
      <c r="C214">
        <v>1369429</v>
      </c>
      <c r="D214">
        <v>2023</v>
      </c>
      <c r="E214">
        <v>23460</v>
      </c>
      <c r="F214">
        <v>23102</v>
      </c>
      <c r="G214">
        <v>138</v>
      </c>
      <c r="H214">
        <v>220</v>
      </c>
      <c r="I214">
        <v>880357</v>
      </c>
      <c r="J214">
        <v>98.47</v>
      </c>
      <c r="K214">
        <v>0.59</v>
      </c>
      <c r="L214">
        <v>64.290000000000006</v>
      </c>
      <c r="M214">
        <v>278529</v>
      </c>
      <c r="N214" t="str">
        <f t="shared" si="3"/>
        <v>4th</v>
      </c>
    </row>
    <row r="215" spans="1:14" x14ac:dyDescent="0.35">
      <c r="A215" t="s">
        <v>226</v>
      </c>
      <c r="B215" t="s">
        <v>14</v>
      </c>
      <c r="C215">
        <v>8680837</v>
      </c>
      <c r="D215">
        <v>2022</v>
      </c>
      <c r="E215">
        <v>39572</v>
      </c>
      <c r="F215">
        <v>39281</v>
      </c>
      <c r="G215">
        <v>290</v>
      </c>
      <c r="H215">
        <v>1</v>
      </c>
      <c r="I215">
        <v>6260518</v>
      </c>
      <c r="J215">
        <v>99.26</v>
      </c>
      <c r="K215">
        <v>0.73</v>
      </c>
      <c r="L215">
        <v>72.12</v>
      </c>
      <c r="M215">
        <v>815204</v>
      </c>
      <c r="N215" t="str">
        <f t="shared" si="3"/>
        <v>4th</v>
      </c>
    </row>
    <row r="216" spans="1:14" x14ac:dyDescent="0.35">
      <c r="A216" t="s">
        <v>227</v>
      </c>
      <c r="B216" t="s">
        <v>172</v>
      </c>
      <c r="C216">
        <v>1378</v>
      </c>
      <c r="D216">
        <v>2021</v>
      </c>
      <c r="E216">
        <v>80</v>
      </c>
      <c r="F216">
        <v>235145.5</v>
      </c>
      <c r="G216">
        <v>2570</v>
      </c>
      <c r="H216">
        <v>0</v>
      </c>
      <c r="I216">
        <v>1271</v>
      </c>
      <c r="J216">
        <v>293931.88</v>
      </c>
      <c r="K216">
        <v>3212.5</v>
      </c>
      <c r="L216">
        <v>92.24</v>
      </c>
      <c r="M216">
        <v>2226216</v>
      </c>
      <c r="N216" t="str">
        <f t="shared" si="3"/>
        <v>5th</v>
      </c>
    </row>
    <row r="217" spans="1:14" x14ac:dyDescent="0.35">
      <c r="A217" t="s">
        <v>228</v>
      </c>
      <c r="B217" t="s">
        <v>172</v>
      </c>
      <c r="C217">
        <v>107749</v>
      </c>
      <c r="D217">
        <v>2022</v>
      </c>
      <c r="E217">
        <v>16950</v>
      </c>
      <c r="F217">
        <v>15638</v>
      </c>
      <c r="G217">
        <v>13</v>
      </c>
      <c r="H217">
        <v>1299</v>
      </c>
      <c r="I217">
        <v>96228</v>
      </c>
      <c r="J217">
        <v>92.26</v>
      </c>
      <c r="K217">
        <v>0.08</v>
      </c>
      <c r="L217">
        <v>89.31</v>
      </c>
      <c r="M217">
        <v>535009</v>
      </c>
      <c r="N217" t="str">
        <f t="shared" si="3"/>
        <v>4th</v>
      </c>
    </row>
    <row r="218" spans="1:14" x14ac:dyDescent="0.35">
      <c r="A218" t="s">
        <v>229</v>
      </c>
      <c r="B218" t="s">
        <v>169</v>
      </c>
      <c r="C218">
        <v>1406585</v>
      </c>
      <c r="D218">
        <v>2020</v>
      </c>
      <c r="E218">
        <v>191496</v>
      </c>
      <c r="F218">
        <v>187078</v>
      </c>
      <c r="G218">
        <v>4390</v>
      </c>
      <c r="H218">
        <v>28</v>
      </c>
      <c r="I218">
        <v>674380</v>
      </c>
      <c r="J218">
        <v>97.69</v>
      </c>
      <c r="K218">
        <v>2.29</v>
      </c>
      <c r="L218">
        <v>47.94</v>
      </c>
      <c r="M218">
        <v>913289</v>
      </c>
      <c r="N218" t="str">
        <f t="shared" si="3"/>
        <v>3rd</v>
      </c>
    </row>
    <row r="219" spans="1:14" x14ac:dyDescent="0.35">
      <c r="A219" t="s">
        <v>230</v>
      </c>
      <c r="B219" t="s">
        <v>14</v>
      </c>
      <c r="C219">
        <v>12046656</v>
      </c>
      <c r="D219">
        <v>2023</v>
      </c>
      <c r="E219">
        <v>1153361</v>
      </c>
      <c r="F219">
        <v>235145.5</v>
      </c>
      <c r="G219">
        <v>29423</v>
      </c>
      <c r="H219">
        <v>888792</v>
      </c>
      <c r="I219">
        <v>6765230</v>
      </c>
      <c r="J219">
        <v>20.39</v>
      </c>
      <c r="K219">
        <v>2.5499999999999998</v>
      </c>
      <c r="L219">
        <v>56.16</v>
      </c>
      <c r="M219">
        <v>5013383</v>
      </c>
      <c r="N219" t="str">
        <f t="shared" si="3"/>
        <v>3rd</v>
      </c>
    </row>
    <row r="220" spans="1:14" x14ac:dyDescent="0.35">
      <c r="A220" t="s">
        <v>231</v>
      </c>
      <c r="B220" t="s">
        <v>24</v>
      </c>
      <c r="C220">
        <v>85561976</v>
      </c>
      <c r="D220">
        <v>2022</v>
      </c>
      <c r="E220">
        <v>17232066</v>
      </c>
      <c r="F220">
        <v>235145.5</v>
      </c>
      <c r="G220">
        <v>102174</v>
      </c>
      <c r="H220">
        <v>16894746</v>
      </c>
      <c r="I220">
        <v>61846852</v>
      </c>
      <c r="J220">
        <v>1.36</v>
      </c>
      <c r="K220">
        <v>0.59</v>
      </c>
      <c r="L220">
        <v>72.28</v>
      </c>
      <c r="M220">
        <v>162743369</v>
      </c>
      <c r="N220" t="str">
        <f t="shared" si="3"/>
        <v>2nd</v>
      </c>
    </row>
    <row r="221" spans="1:14" x14ac:dyDescent="0.35">
      <c r="A221" t="s">
        <v>232</v>
      </c>
      <c r="B221" t="s">
        <v>169</v>
      </c>
      <c r="C221">
        <v>39741</v>
      </c>
      <c r="D221">
        <v>2023</v>
      </c>
      <c r="E221">
        <v>6752</v>
      </c>
      <c r="F221">
        <v>6709</v>
      </c>
      <c r="G221">
        <v>40</v>
      </c>
      <c r="H221">
        <v>3</v>
      </c>
      <c r="I221">
        <v>23571</v>
      </c>
      <c r="J221">
        <v>99.36</v>
      </c>
      <c r="K221">
        <v>0.59</v>
      </c>
      <c r="L221">
        <v>59.31</v>
      </c>
      <c r="M221">
        <v>616788</v>
      </c>
      <c r="N221" t="str">
        <f t="shared" si="3"/>
        <v>4th</v>
      </c>
    </row>
    <row r="222" spans="1:14" x14ac:dyDescent="0.35">
      <c r="A222" t="s">
        <v>233</v>
      </c>
      <c r="B222" t="s">
        <v>172</v>
      </c>
      <c r="C222">
        <v>12066</v>
      </c>
      <c r="D222">
        <v>2021</v>
      </c>
      <c r="E222">
        <v>2943</v>
      </c>
      <c r="F222">
        <v>235145.5</v>
      </c>
      <c r="G222">
        <v>1</v>
      </c>
      <c r="H222">
        <v>0</v>
      </c>
      <c r="I222">
        <v>6774</v>
      </c>
      <c r="J222">
        <v>7989.99</v>
      </c>
      <c r="K222">
        <v>0.03</v>
      </c>
      <c r="L222">
        <v>56.14</v>
      </c>
      <c r="M222">
        <v>2226216</v>
      </c>
      <c r="N222" t="str">
        <f t="shared" si="3"/>
        <v>5th</v>
      </c>
    </row>
    <row r="223" spans="1:14" x14ac:dyDescent="0.35">
      <c r="A223" t="s">
        <v>234</v>
      </c>
      <c r="B223" t="s">
        <v>24</v>
      </c>
      <c r="C223">
        <v>10081785</v>
      </c>
      <c r="D223">
        <v>2020</v>
      </c>
      <c r="E223">
        <v>1067030</v>
      </c>
      <c r="F223">
        <v>235145.5</v>
      </c>
      <c r="G223">
        <v>2349</v>
      </c>
      <c r="H223">
        <v>829536</v>
      </c>
      <c r="I223">
        <v>6471145</v>
      </c>
      <c r="J223">
        <v>22.04</v>
      </c>
      <c r="K223">
        <v>0.22</v>
      </c>
      <c r="L223">
        <v>64.19</v>
      </c>
      <c r="M223">
        <v>200732262</v>
      </c>
      <c r="N223" t="str">
        <f t="shared" si="3"/>
        <v>3rd</v>
      </c>
    </row>
    <row r="224" spans="1:14" x14ac:dyDescent="0.35">
      <c r="A224" t="s">
        <v>235</v>
      </c>
      <c r="B224" t="s">
        <v>83</v>
      </c>
      <c r="C224">
        <v>68497907</v>
      </c>
      <c r="D224">
        <v>2023</v>
      </c>
      <c r="E224">
        <v>24910387</v>
      </c>
      <c r="F224">
        <v>24678275</v>
      </c>
      <c r="G224">
        <v>232112</v>
      </c>
      <c r="H224">
        <v>0</v>
      </c>
      <c r="I224">
        <v>34938064</v>
      </c>
      <c r="J224">
        <v>99.07</v>
      </c>
      <c r="K224">
        <v>0.93</v>
      </c>
      <c r="L224">
        <v>51.01</v>
      </c>
      <c r="M224">
        <v>522526476</v>
      </c>
      <c r="N224" t="str">
        <f t="shared" si="3"/>
        <v>2nd</v>
      </c>
    </row>
    <row r="225" spans="1:14" x14ac:dyDescent="0.35">
      <c r="A225" t="s">
        <v>236</v>
      </c>
      <c r="B225" t="s">
        <v>169</v>
      </c>
      <c r="C225">
        <v>334805269</v>
      </c>
      <c r="D225">
        <v>2020</v>
      </c>
      <c r="E225">
        <v>111820082</v>
      </c>
      <c r="F225">
        <v>109814428</v>
      </c>
      <c r="G225">
        <v>1219487</v>
      </c>
      <c r="H225">
        <v>786167</v>
      </c>
      <c r="I225">
        <v>317607199</v>
      </c>
      <c r="J225">
        <v>98.21</v>
      </c>
      <c r="K225">
        <v>1.0900000000000001</v>
      </c>
      <c r="L225">
        <v>94.86</v>
      </c>
      <c r="M225">
        <v>1186851502</v>
      </c>
      <c r="N225" t="str">
        <f t="shared" si="3"/>
        <v>1st</v>
      </c>
    </row>
    <row r="226" spans="1:14" x14ac:dyDescent="0.35">
      <c r="A226" t="s">
        <v>237</v>
      </c>
      <c r="B226" t="s">
        <v>14</v>
      </c>
      <c r="C226">
        <v>48432863</v>
      </c>
      <c r="D226">
        <v>2020</v>
      </c>
      <c r="E226">
        <v>172149</v>
      </c>
      <c r="F226">
        <v>100431</v>
      </c>
      <c r="G226">
        <v>3632</v>
      </c>
      <c r="H226">
        <v>68086</v>
      </c>
      <c r="I226">
        <v>42470154</v>
      </c>
      <c r="J226">
        <v>58.34</v>
      </c>
      <c r="K226">
        <v>2.11</v>
      </c>
      <c r="L226">
        <v>87.69</v>
      </c>
      <c r="M226">
        <v>3012408</v>
      </c>
      <c r="N226" t="str">
        <f t="shared" si="3"/>
        <v>3rd</v>
      </c>
    </row>
    <row r="227" spans="1:14" x14ac:dyDescent="0.35">
      <c r="A227" t="s">
        <v>238</v>
      </c>
      <c r="B227" t="s">
        <v>83</v>
      </c>
      <c r="C227">
        <v>43192122</v>
      </c>
      <c r="D227">
        <v>2022</v>
      </c>
      <c r="E227">
        <v>5557995</v>
      </c>
      <c r="F227">
        <v>5445577</v>
      </c>
      <c r="G227">
        <v>112418</v>
      </c>
      <c r="H227">
        <v>0</v>
      </c>
      <c r="I227">
        <v>37636387</v>
      </c>
      <c r="J227">
        <v>97.98</v>
      </c>
      <c r="K227">
        <v>2.02</v>
      </c>
      <c r="L227">
        <v>87.14</v>
      </c>
      <c r="M227">
        <v>32603805</v>
      </c>
      <c r="N227" t="str">
        <f t="shared" si="3"/>
        <v>3rd</v>
      </c>
    </row>
    <row r="228" spans="1:14" x14ac:dyDescent="0.35">
      <c r="A228" t="s">
        <v>239</v>
      </c>
      <c r="B228" t="s">
        <v>210</v>
      </c>
      <c r="C228">
        <v>3496016</v>
      </c>
      <c r="D228">
        <v>2022</v>
      </c>
      <c r="E228">
        <v>1041111</v>
      </c>
      <c r="F228">
        <v>1030944</v>
      </c>
      <c r="G228">
        <v>7664</v>
      </c>
      <c r="H228">
        <v>2503</v>
      </c>
      <c r="I228">
        <v>2780356</v>
      </c>
      <c r="J228">
        <v>99.02</v>
      </c>
      <c r="K228">
        <v>0.74</v>
      </c>
      <c r="L228">
        <v>79.53</v>
      </c>
      <c r="M228">
        <v>6114822</v>
      </c>
      <c r="N228" t="str">
        <f t="shared" si="3"/>
        <v>3rd</v>
      </c>
    </row>
    <row r="229" spans="1:14" x14ac:dyDescent="0.35">
      <c r="A229" t="s">
        <v>240</v>
      </c>
      <c r="B229" t="s">
        <v>24</v>
      </c>
      <c r="C229">
        <v>34382084</v>
      </c>
      <c r="D229">
        <v>2022</v>
      </c>
      <c r="E229">
        <v>253662</v>
      </c>
      <c r="F229">
        <v>241486</v>
      </c>
      <c r="G229">
        <v>1637</v>
      </c>
      <c r="H229">
        <v>10539</v>
      </c>
      <c r="I229">
        <v>26507689</v>
      </c>
      <c r="J229">
        <v>95.2</v>
      </c>
      <c r="K229">
        <v>0.65</v>
      </c>
      <c r="L229">
        <v>77.099999999999994</v>
      </c>
      <c r="M229">
        <v>1377915</v>
      </c>
      <c r="N229" t="str">
        <f t="shared" si="3"/>
        <v>3rd</v>
      </c>
    </row>
    <row r="230" spans="1:14" x14ac:dyDescent="0.35">
      <c r="A230" t="s">
        <v>241</v>
      </c>
      <c r="B230" t="s">
        <v>172</v>
      </c>
      <c r="C230">
        <v>321832</v>
      </c>
      <c r="D230">
        <v>2023</v>
      </c>
      <c r="E230">
        <v>12019</v>
      </c>
      <c r="F230">
        <v>11976</v>
      </c>
      <c r="G230">
        <v>14</v>
      </c>
      <c r="H230">
        <v>29</v>
      </c>
      <c r="I230">
        <v>264281</v>
      </c>
      <c r="J230">
        <v>99.64</v>
      </c>
      <c r="K230">
        <v>0.12</v>
      </c>
      <c r="L230">
        <v>82.12</v>
      </c>
      <c r="M230">
        <v>24976</v>
      </c>
      <c r="N230" t="str">
        <f t="shared" si="3"/>
        <v>4th</v>
      </c>
    </row>
    <row r="231" spans="1:14" x14ac:dyDescent="0.35">
      <c r="A231" t="s">
        <v>242</v>
      </c>
      <c r="B231" t="s">
        <v>83</v>
      </c>
      <c r="C231">
        <v>799</v>
      </c>
      <c r="D231">
        <v>2020</v>
      </c>
      <c r="E231">
        <v>29</v>
      </c>
      <c r="F231">
        <v>29</v>
      </c>
      <c r="G231">
        <v>2570</v>
      </c>
      <c r="H231">
        <v>0</v>
      </c>
      <c r="I231">
        <v>561</v>
      </c>
      <c r="J231">
        <v>100</v>
      </c>
      <c r="K231">
        <v>8862.07</v>
      </c>
      <c r="L231">
        <v>70.209999999999994</v>
      </c>
      <c r="M231">
        <v>2226216</v>
      </c>
      <c r="N231" t="str">
        <f t="shared" si="3"/>
        <v>5th</v>
      </c>
    </row>
    <row r="232" spans="1:14" x14ac:dyDescent="0.35">
      <c r="A232" t="s">
        <v>243</v>
      </c>
      <c r="B232" t="s">
        <v>210</v>
      </c>
      <c r="C232">
        <v>29266991</v>
      </c>
      <c r="D232">
        <v>2020</v>
      </c>
      <c r="E232">
        <v>552695</v>
      </c>
      <c r="F232">
        <v>546537</v>
      </c>
      <c r="G232">
        <v>5856</v>
      </c>
      <c r="H232">
        <v>302</v>
      </c>
      <c r="I232">
        <v>26640736</v>
      </c>
      <c r="J232">
        <v>98.89</v>
      </c>
      <c r="K232">
        <v>1.06</v>
      </c>
      <c r="L232">
        <v>91.03</v>
      </c>
      <c r="M232">
        <v>3359014</v>
      </c>
      <c r="N232" t="str">
        <f t="shared" si="3"/>
        <v>3rd</v>
      </c>
    </row>
    <row r="233" spans="1:14" x14ac:dyDescent="0.35">
      <c r="A233" t="s">
        <v>244</v>
      </c>
      <c r="B233" t="s">
        <v>24</v>
      </c>
      <c r="C233">
        <v>98953541</v>
      </c>
      <c r="D233">
        <v>2023</v>
      </c>
      <c r="E233">
        <v>11625195</v>
      </c>
      <c r="F233">
        <v>10640971</v>
      </c>
      <c r="G233">
        <v>43206</v>
      </c>
      <c r="H233">
        <v>941018</v>
      </c>
      <c r="I233">
        <v>82033915</v>
      </c>
      <c r="J233">
        <v>91.53</v>
      </c>
      <c r="K233">
        <v>0.37</v>
      </c>
      <c r="L233">
        <v>82.9</v>
      </c>
      <c r="M233">
        <v>85826548</v>
      </c>
      <c r="N233" t="str">
        <f t="shared" si="3"/>
        <v>2nd</v>
      </c>
    </row>
    <row r="234" spans="1:14" x14ac:dyDescent="0.35">
      <c r="A234" t="s">
        <v>245</v>
      </c>
      <c r="B234" t="s">
        <v>172</v>
      </c>
      <c r="C234">
        <v>10982</v>
      </c>
      <c r="D234">
        <v>2022</v>
      </c>
      <c r="E234">
        <v>3550</v>
      </c>
      <c r="F234">
        <v>438</v>
      </c>
      <c r="G234">
        <v>8</v>
      </c>
      <c r="H234">
        <v>3104</v>
      </c>
      <c r="I234">
        <v>8729</v>
      </c>
      <c r="J234">
        <v>12.34</v>
      </c>
      <c r="K234">
        <v>0.23</v>
      </c>
      <c r="L234">
        <v>79.48</v>
      </c>
      <c r="M234">
        <v>20508</v>
      </c>
      <c r="N234" t="str">
        <f t="shared" si="3"/>
        <v>5th</v>
      </c>
    </row>
    <row r="235" spans="1:14" x14ac:dyDescent="0.35">
      <c r="A235" t="s">
        <v>246</v>
      </c>
      <c r="B235" t="s">
        <v>14</v>
      </c>
      <c r="C235">
        <v>626161</v>
      </c>
      <c r="D235">
        <v>2022</v>
      </c>
      <c r="E235">
        <v>10</v>
      </c>
      <c r="F235">
        <v>9</v>
      </c>
      <c r="G235">
        <v>1</v>
      </c>
      <c r="H235">
        <v>0</v>
      </c>
      <c r="I235">
        <v>424296</v>
      </c>
      <c r="J235">
        <v>90</v>
      </c>
      <c r="K235">
        <v>10</v>
      </c>
      <c r="L235">
        <v>67.760000000000005</v>
      </c>
      <c r="M235">
        <v>2226216</v>
      </c>
      <c r="N235" t="str">
        <f t="shared" si="3"/>
        <v>5th</v>
      </c>
    </row>
    <row r="236" spans="1:14" x14ac:dyDescent="0.35">
      <c r="A236" t="s">
        <v>247</v>
      </c>
      <c r="B236" t="s">
        <v>24</v>
      </c>
      <c r="C236">
        <v>31154867</v>
      </c>
      <c r="D236">
        <v>2023</v>
      </c>
      <c r="E236">
        <v>11945</v>
      </c>
      <c r="F236">
        <v>9124</v>
      </c>
      <c r="G236">
        <v>2159</v>
      </c>
      <c r="H236">
        <v>662</v>
      </c>
      <c r="I236">
        <v>19037721</v>
      </c>
      <c r="J236">
        <v>76.38</v>
      </c>
      <c r="K236">
        <v>18.07</v>
      </c>
      <c r="L236">
        <v>61.11</v>
      </c>
      <c r="M236">
        <v>329592</v>
      </c>
      <c r="N236" t="str">
        <f t="shared" si="3"/>
        <v>4th</v>
      </c>
    </row>
    <row r="237" spans="1:14" x14ac:dyDescent="0.35">
      <c r="A237" t="s">
        <v>248</v>
      </c>
      <c r="B237" t="s">
        <v>14</v>
      </c>
      <c r="C237">
        <v>19470234</v>
      </c>
      <c r="D237">
        <v>2023</v>
      </c>
      <c r="E237">
        <v>349304</v>
      </c>
      <c r="F237">
        <v>341316</v>
      </c>
      <c r="G237">
        <v>4069</v>
      </c>
      <c r="H237">
        <v>3919</v>
      </c>
      <c r="I237">
        <v>14827885</v>
      </c>
      <c r="J237">
        <v>97.71</v>
      </c>
      <c r="K237">
        <v>1.1599999999999999</v>
      </c>
      <c r="L237">
        <v>76.16</v>
      </c>
      <c r="M237">
        <v>4112961</v>
      </c>
      <c r="N237" t="str">
        <f t="shared" si="3"/>
        <v>3rd</v>
      </c>
    </row>
    <row r="238" spans="1:14" x14ac:dyDescent="0.35">
      <c r="A238" t="s">
        <v>249</v>
      </c>
      <c r="B238" t="s">
        <v>14</v>
      </c>
      <c r="C238">
        <v>15331428</v>
      </c>
      <c r="D238">
        <v>2022</v>
      </c>
      <c r="E238">
        <v>266359</v>
      </c>
      <c r="F238">
        <v>258888</v>
      </c>
      <c r="G238">
        <v>5740</v>
      </c>
      <c r="H238">
        <v>1731</v>
      </c>
      <c r="I238">
        <v>10105765</v>
      </c>
      <c r="J238">
        <v>97.2</v>
      </c>
      <c r="K238">
        <v>2.15</v>
      </c>
      <c r="L238">
        <v>65.92</v>
      </c>
      <c r="M238">
        <v>2525756</v>
      </c>
      <c r="N238" t="str">
        <f t="shared" si="3"/>
        <v>3rd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C5" sqref="C5"/>
    </sheetView>
  </sheetViews>
  <sheetFormatPr defaultRowHeight="14.5" x14ac:dyDescent="0.35"/>
  <cols>
    <col min="1" max="1" width="15.90625" bestFit="1" customWidth="1"/>
  </cols>
  <sheetData>
    <row r="1" spans="1:3" x14ac:dyDescent="0.35">
      <c r="A1" t="s">
        <v>268</v>
      </c>
    </row>
    <row r="2" spans="1:3" x14ac:dyDescent="0.35">
      <c r="A2" s="6" t="s">
        <v>14</v>
      </c>
      <c r="B2">
        <f>COUNTIF(Table!B:B,"Africa")</f>
        <v>61</v>
      </c>
      <c r="C2">
        <f>COUNTIF(Table!$B:$B,A2)</f>
        <v>61</v>
      </c>
    </row>
    <row r="3" spans="1:3" x14ac:dyDescent="0.35">
      <c r="A3" s="6" t="s">
        <v>24</v>
      </c>
      <c r="B3">
        <f>COUNTIF(Table!B:B,"Asia")</f>
        <v>51</v>
      </c>
      <c r="C3">
        <f>COUNTIF(Table!$B:$B,A3)</f>
        <v>51</v>
      </c>
    </row>
    <row r="4" spans="1:3" x14ac:dyDescent="0.35">
      <c r="A4" s="6" t="s">
        <v>25</v>
      </c>
      <c r="B4">
        <f>COUNTIF(Table!B:B,"Australia")</f>
        <v>0</v>
      </c>
      <c r="C4">
        <f>COUNTIF(Table!$B:$B,A4)</f>
        <v>0</v>
      </c>
    </row>
    <row r="5" spans="1:3" x14ac:dyDescent="0.35">
      <c r="A5" s="6" t="s">
        <v>83</v>
      </c>
      <c r="C5">
        <f>COUNTIF(Table!B:B,A5)</f>
        <v>49</v>
      </c>
    </row>
    <row r="6" spans="1:3" x14ac:dyDescent="0.35">
      <c r="A6" s="6" t="s">
        <v>269</v>
      </c>
      <c r="C6">
        <f>COUNTIF(Table!B:B,A6)</f>
        <v>0</v>
      </c>
    </row>
    <row r="7" spans="1:3" x14ac:dyDescent="0.35">
      <c r="A7" s="6" t="s">
        <v>270</v>
      </c>
      <c r="C7">
        <f>COUNTIF(Table!$B:$B,A7)</f>
        <v>0</v>
      </c>
    </row>
    <row r="8" spans="1:3" x14ac:dyDescent="0.35">
      <c r="A8" s="6" t="s"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49"/>
  <sheetViews>
    <sheetView workbookViewId="0">
      <selection activeCell="G14" sqref="G14"/>
    </sheetView>
  </sheetViews>
  <sheetFormatPr defaultRowHeight="14.5" x14ac:dyDescent="0.35"/>
  <cols>
    <col min="1" max="1" width="13.1796875" customWidth="1"/>
    <col min="2" max="2" width="11.81640625" customWidth="1"/>
    <col min="4" max="4" width="13.1796875" bestFit="1" customWidth="1"/>
    <col min="5" max="5" width="12.1796875" customWidth="1"/>
    <col min="6" max="6" width="14.1796875" bestFit="1" customWidth="1"/>
    <col min="7" max="7" width="21.36328125" bestFit="1" customWidth="1"/>
    <col min="8" max="8" width="14.1796875" customWidth="1"/>
  </cols>
  <sheetData>
    <row r="2" spans="1:8" x14ac:dyDescent="0.35">
      <c r="A2" s="2" t="s">
        <v>250</v>
      </c>
      <c r="B2" t="s">
        <v>252</v>
      </c>
      <c r="D2" s="2" t="s">
        <v>250</v>
      </c>
      <c r="E2" t="s">
        <v>261</v>
      </c>
      <c r="G2" s="2" t="s">
        <v>250</v>
      </c>
      <c r="H2" t="s">
        <v>254</v>
      </c>
    </row>
    <row r="3" spans="1:8" x14ac:dyDescent="0.35">
      <c r="A3" s="3" t="s">
        <v>14</v>
      </c>
      <c r="B3" s="4">
        <v>25722569</v>
      </c>
      <c r="D3" s="3">
        <v>2020</v>
      </c>
      <c r="E3" s="4">
        <v>893098109</v>
      </c>
      <c r="G3" s="3" t="s">
        <v>14</v>
      </c>
      <c r="H3" s="4">
        <v>61</v>
      </c>
    </row>
    <row r="4" spans="1:8" x14ac:dyDescent="0.35">
      <c r="A4" s="3" t="s">
        <v>24</v>
      </c>
      <c r="B4" s="4">
        <v>443000530</v>
      </c>
      <c r="D4" s="3">
        <v>2021</v>
      </c>
      <c r="E4" s="4">
        <v>79687140</v>
      </c>
      <c r="G4" s="3" t="s">
        <v>24</v>
      </c>
      <c r="H4" s="4">
        <v>51</v>
      </c>
    </row>
    <row r="5" spans="1:8" x14ac:dyDescent="0.35">
      <c r="A5" s="3" t="s">
        <v>83</v>
      </c>
      <c r="B5" s="4">
        <v>506812396</v>
      </c>
      <c r="D5" s="3">
        <v>2022</v>
      </c>
      <c r="E5" s="4">
        <v>166354055</v>
      </c>
      <c r="G5" s="3" t="s">
        <v>83</v>
      </c>
      <c r="H5" s="4">
        <v>49</v>
      </c>
    </row>
    <row r="6" spans="1:8" x14ac:dyDescent="0.35">
      <c r="A6" s="3" t="s">
        <v>169</v>
      </c>
      <c r="B6" s="4">
        <v>263778264</v>
      </c>
      <c r="D6" s="3">
        <v>2023</v>
      </c>
      <c r="E6" s="4">
        <v>108334451</v>
      </c>
      <c r="G6" s="3" t="s">
        <v>169</v>
      </c>
      <c r="H6" s="4">
        <v>40</v>
      </c>
    </row>
    <row r="7" spans="1:8" x14ac:dyDescent="0.35">
      <c r="A7" s="3" t="s">
        <v>172</v>
      </c>
      <c r="B7" s="4">
        <v>29791542</v>
      </c>
      <c r="D7" s="3" t="s">
        <v>251</v>
      </c>
      <c r="E7" s="4">
        <v>1247473755</v>
      </c>
      <c r="G7" s="3" t="s">
        <v>172</v>
      </c>
      <c r="H7" s="4">
        <v>21</v>
      </c>
    </row>
    <row r="8" spans="1:8" x14ac:dyDescent="0.35">
      <c r="A8" s="3" t="s">
        <v>210</v>
      </c>
      <c r="B8" s="4">
        <v>140401758</v>
      </c>
      <c r="G8" s="3" t="s">
        <v>210</v>
      </c>
      <c r="H8" s="4">
        <v>15</v>
      </c>
    </row>
    <row r="9" spans="1:8" x14ac:dyDescent="0.35">
      <c r="A9" s="3" t="s">
        <v>251</v>
      </c>
      <c r="B9" s="4">
        <v>1409507059</v>
      </c>
      <c r="G9" s="3" t="s">
        <v>251</v>
      </c>
      <c r="H9" s="4">
        <v>237</v>
      </c>
    </row>
    <row r="11" spans="1:8" x14ac:dyDescent="0.35">
      <c r="D11" s="2" t="s">
        <v>250</v>
      </c>
      <c r="E11" t="s">
        <v>264</v>
      </c>
      <c r="G11" s="2" t="s">
        <v>250</v>
      </c>
      <c r="H11" t="s">
        <v>266</v>
      </c>
    </row>
    <row r="12" spans="1:8" x14ac:dyDescent="0.35">
      <c r="A12" s="2" t="s">
        <v>250</v>
      </c>
      <c r="B12" t="s">
        <v>255</v>
      </c>
      <c r="D12" s="3" t="s">
        <v>14</v>
      </c>
      <c r="E12" s="4">
        <v>1424122159</v>
      </c>
      <c r="G12" s="3" t="s">
        <v>13</v>
      </c>
      <c r="H12" s="4">
        <v>3.41</v>
      </c>
    </row>
    <row r="13" spans="1:8" x14ac:dyDescent="0.35">
      <c r="A13" s="3">
        <v>2020</v>
      </c>
      <c r="B13" s="4">
        <v>9420794</v>
      </c>
      <c r="D13" s="3" t="s">
        <v>24</v>
      </c>
      <c r="E13" s="4">
        <v>4717154588</v>
      </c>
      <c r="G13" s="3" t="s">
        <v>14</v>
      </c>
      <c r="H13" s="4">
        <v>2.0099999999999998</v>
      </c>
    </row>
    <row r="14" spans="1:8" x14ac:dyDescent="0.35">
      <c r="A14" s="3">
        <v>2021</v>
      </c>
      <c r="B14" s="4">
        <v>1767848</v>
      </c>
      <c r="D14" s="3" t="s">
        <v>83</v>
      </c>
      <c r="E14" s="4">
        <v>753341642</v>
      </c>
      <c r="G14" s="3" t="s">
        <v>15</v>
      </c>
      <c r="H14" s="4">
        <v>1.08</v>
      </c>
    </row>
    <row r="15" spans="1:8" x14ac:dyDescent="0.35">
      <c r="A15" s="3">
        <v>2022</v>
      </c>
      <c r="B15" s="4">
        <v>1596815</v>
      </c>
      <c r="D15" s="3" t="s">
        <v>169</v>
      </c>
      <c r="E15" s="4">
        <v>603938721</v>
      </c>
      <c r="G15" s="3" t="s">
        <v>16</v>
      </c>
      <c r="H15" s="4">
        <v>2.5299999999999998</v>
      </c>
    </row>
    <row r="16" spans="1:8" x14ac:dyDescent="0.35">
      <c r="A16" s="3">
        <v>2023</v>
      </c>
      <c r="B16" s="4">
        <v>1248740</v>
      </c>
      <c r="D16" s="3" t="s">
        <v>172</v>
      </c>
      <c r="E16" s="4">
        <v>49268213</v>
      </c>
      <c r="G16" s="3" t="s">
        <v>17</v>
      </c>
      <c r="H16" s="4">
        <v>0.34</v>
      </c>
    </row>
    <row r="17" spans="1:8" x14ac:dyDescent="0.35">
      <c r="A17" s="3" t="s">
        <v>251</v>
      </c>
      <c r="B17" s="4">
        <v>14034197</v>
      </c>
      <c r="D17" s="3" t="s">
        <v>210</v>
      </c>
      <c r="E17" s="4">
        <v>443492248</v>
      </c>
      <c r="G17" s="3" t="s">
        <v>18</v>
      </c>
      <c r="H17" s="4">
        <v>1.8</v>
      </c>
    </row>
    <row r="18" spans="1:8" x14ac:dyDescent="0.35">
      <c r="D18" s="3" t="s">
        <v>251</v>
      </c>
      <c r="E18" s="4">
        <v>7991317571</v>
      </c>
      <c r="G18" s="3" t="s">
        <v>19</v>
      </c>
      <c r="H18" s="4">
        <v>0.31</v>
      </c>
    </row>
    <row r="19" spans="1:8" x14ac:dyDescent="0.35">
      <c r="A19" s="2" t="s">
        <v>250</v>
      </c>
      <c r="B19" t="s">
        <v>263</v>
      </c>
      <c r="G19" s="3" t="s">
        <v>20</v>
      </c>
      <c r="H19" s="4">
        <v>1.6</v>
      </c>
    </row>
    <row r="20" spans="1:8" x14ac:dyDescent="0.35">
      <c r="A20" s="3" t="s">
        <v>256</v>
      </c>
      <c r="B20" s="4">
        <v>98.715000000000003</v>
      </c>
      <c r="D20" s="2" t="s">
        <v>250</v>
      </c>
      <c r="E20" t="s">
        <v>265</v>
      </c>
      <c r="F20" t="s">
        <v>266</v>
      </c>
      <c r="G20" s="3" t="s">
        <v>21</v>
      </c>
      <c r="H20" s="4">
        <v>1.29</v>
      </c>
    </row>
    <row r="21" spans="1:8" x14ac:dyDescent="0.35">
      <c r="A21" s="3" t="s">
        <v>257</v>
      </c>
      <c r="B21" s="4">
        <v>74.733888888888899</v>
      </c>
      <c r="D21" s="3" t="s">
        <v>14</v>
      </c>
      <c r="E21" s="4">
        <v>3015423</v>
      </c>
      <c r="F21" s="4">
        <v>255.20000000000002</v>
      </c>
      <c r="G21" s="3" t="s">
        <v>22</v>
      </c>
      <c r="H21" s="4">
        <v>1.94</v>
      </c>
    </row>
    <row r="22" spans="1:8" x14ac:dyDescent="0.35">
      <c r="A22" s="3" t="s">
        <v>258</v>
      </c>
      <c r="B22" s="4">
        <v>69.985777777777784</v>
      </c>
      <c r="D22" s="3" t="s">
        <v>24</v>
      </c>
      <c r="E22" s="4">
        <v>123126420</v>
      </c>
      <c r="F22" s="4">
        <v>68.699999999999989</v>
      </c>
      <c r="G22" s="3" t="s">
        <v>23</v>
      </c>
      <c r="H22" s="4">
        <v>0.66</v>
      </c>
    </row>
    <row r="23" spans="1:8" x14ac:dyDescent="0.35">
      <c r="A23" s="3" t="s">
        <v>259</v>
      </c>
      <c r="B23" s="4">
        <v>71.041492537313459</v>
      </c>
      <c r="D23" s="3" t="s">
        <v>83</v>
      </c>
      <c r="E23" s="4">
        <v>16492663</v>
      </c>
      <c r="F23" s="4">
        <v>8906.84</v>
      </c>
      <c r="G23" s="3" t="s">
        <v>24</v>
      </c>
      <c r="H23" s="4">
        <v>0.7</v>
      </c>
    </row>
    <row r="24" spans="1:8" x14ac:dyDescent="0.35">
      <c r="A24" s="3" t="s">
        <v>260</v>
      </c>
      <c r="B24" s="4">
        <v>70.410769230769233</v>
      </c>
      <c r="D24" s="3" t="s">
        <v>169</v>
      </c>
      <c r="E24" s="4">
        <v>5083442</v>
      </c>
      <c r="F24" s="4">
        <v>43.35</v>
      </c>
      <c r="G24" s="3" t="s">
        <v>25</v>
      </c>
      <c r="H24" s="4">
        <v>0.21</v>
      </c>
    </row>
    <row r="25" spans="1:8" x14ac:dyDescent="0.35">
      <c r="A25" s="3" t="s">
        <v>262</v>
      </c>
      <c r="B25" s="4"/>
      <c r="D25" s="3" t="s">
        <v>172</v>
      </c>
      <c r="E25" s="4">
        <v>143999</v>
      </c>
      <c r="F25" s="4">
        <v>3462.19</v>
      </c>
      <c r="G25" s="3" t="s">
        <v>26</v>
      </c>
      <c r="H25" s="4">
        <v>0.37</v>
      </c>
    </row>
    <row r="26" spans="1:8" x14ac:dyDescent="0.35">
      <c r="A26" s="3" t="s">
        <v>251</v>
      </c>
      <c r="B26" s="4">
        <v>71.153037974683556</v>
      </c>
      <c r="D26" s="3" t="s">
        <v>210</v>
      </c>
      <c r="E26" s="4">
        <v>4731689</v>
      </c>
      <c r="F26" s="4">
        <v>159.85</v>
      </c>
      <c r="G26" s="3" t="s">
        <v>27</v>
      </c>
      <c r="H26" s="4">
        <v>1.25</v>
      </c>
    </row>
    <row r="27" spans="1:8" x14ac:dyDescent="0.35">
      <c r="D27" s="3" t="s">
        <v>251</v>
      </c>
      <c r="E27" s="4">
        <v>152593636</v>
      </c>
      <c r="F27" s="4">
        <v>12896.130000000001</v>
      </c>
      <c r="G27" s="3" t="s">
        <v>28</v>
      </c>
      <c r="H27" s="4">
        <v>2.2200000000000002</v>
      </c>
    </row>
    <row r="28" spans="1:8" x14ac:dyDescent="0.35">
      <c r="G28" s="3" t="s">
        <v>29</v>
      </c>
      <c r="H28" s="4">
        <v>0.22</v>
      </c>
    </row>
    <row r="29" spans="1:8" x14ac:dyDescent="0.35">
      <c r="G29" s="3" t="s">
        <v>30</v>
      </c>
      <c r="H29" s="4">
        <v>1.44</v>
      </c>
    </row>
    <row r="30" spans="1:8" x14ac:dyDescent="0.35">
      <c r="G30" s="3" t="s">
        <v>31</v>
      </c>
      <c r="H30" s="4">
        <v>0.59</v>
      </c>
    </row>
    <row r="31" spans="1:8" x14ac:dyDescent="0.35">
      <c r="G31" s="3" t="s">
        <v>32</v>
      </c>
      <c r="H31" s="4">
        <v>0.72</v>
      </c>
    </row>
    <row r="32" spans="1:8" x14ac:dyDescent="0.35">
      <c r="G32" s="3" t="s">
        <v>33</v>
      </c>
      <c r="H32" s="4">
        <v>0.71</v>
      </c>
    </row>
    <row r="33" spans="7:8" x14ac:dyDescent="0.35">
      <c r="G33" s="3" t="s">
        <v>34</v>
      </c>
      <c r="H33" s="4">
        <v>0.96</v>
      </c>
    </row>
    <row r="34" spans="7:8" x14ac:dyDescent="0.35">
      <c r="G34" s="3" t="s">
        <v>35</v>
      </c>
      <c r="H34" s="4">
        <v>0.57999999999999996</v>
      </c>
    </row>
    <row r="35" spans="7:8" x14ac:dyDescent="0.35">
      <c r="G35" s="3" t="s">
        <v>36</v>
      </c>
      <c r="H35" s="4">
        <v>0.87</v>
      </c>
    </row>
    <row r="36" spans="7:8" x14ac:dyDescent="0.35">
      <c r="G36" s="3" t="s">
        <v>37</v>
      </c>
      <c r="H36" s="4">
        <v>0.03</v>
      </c>
    </row>
    <row r="37" spans="7:8" x14ac:dyDescent="0.35">
      <c r="G37" s="3" t="s">
        <v>38</v>
      </c>
      <c r="H37" s="4">
        <v>1.85</v>
      </c>
    </row>
    <row r="38" spans="7:8" x14ac:dyDescent="0.35">
      <c r="G38" s="3" t="s">
        <v>39</v>
      </c>
      <c r="H38" s="4">
        <v>4.0599999999999996</v>
      </c>
    </row>
    <row r="39" spans="7:8" x14ac:dyDescent="0.35">
      <c r="G39" s="3" t="s">
        <v>40</v>
      </c>
      <c r="H39" s="4">
        <v>0.85</v>
      </c>
    </row>
    <row r="40" spans="7:8" x14ac:dyDescent="0.35">
      <c r="G40" s="3" t="s">
        <v>41</v>
      </c>
      <c r="H40" s="4">
        <v>1.84</v>
      </c>
    </row>
    <row r="41" spans="7:8" x14ac:dyDescent="0.35">
      <c r="G41" s="3" t="s">
        <v>42</v>
      </c>
      <c r="H41" s="4">
        <v>0.87</v>
      </c>
    </row>
    <row r="42" spans="7:8" x14ac:dyDescent="0.35">
      <c r="G42" s="3" t="s">
        <v>43</v>
      </c>
      <c r="H42" s="4">
        <v>7.0000000000000007E-2</v>
      </c>
    </row>
    <row r="43" spans="7:8" x14ac:dyDescent="0.35">
      <c r="G43" s="3" t="s">
        <v>44</v>
      </c>
      <c r="H43" s="4">
        <v>2.89</v>
      </c>
    </row>
    <row r="44" spans="7:8" x14ac:dyDescent="0.35">
      <c r="G44" s="3" t="s">
        <v>45</v>
      </c>
      <c r="H44" s="4">
        <v>1.81</v>
      </c>
    </row>
    <row r="45" spans="7:8" x14ac:dyDescent="0.35">
      <c r="G45" s="3" t="s">
        <v>46</v>
      </c>
      <c r="H45" s="4">
        <v>7.0000000000000007E-2</v>
      </c>
    </row>
    <row r="46" spans="7:8" x14ac:dyDescent="0.35">
      <c r="G46" s="3" t="s">
        <v>48</v>
      </c>
      <c r="H46" s="4">
        <v>0.65</v>
      </c>
    </row>
    <row r="47" spans="7:8" x14ac:dyDescent="0.35">
      <c r="G47" s="3" t="s">
        <v>49</v>
      </c>
      <c r="H47" s="4">
        <v>2.2000000000000002</v>
      </c>
    </row>
    <row r="48" spans="7:8" x14ac:dyDescent="0.35">
      <c r="G48" s="3" t="s">
        <v>50</v>
      </c>
      <c r="H48" s="4">
        <v>1.57</v>
      </c>
    </row>
    <row r="49" spans="7:8" x14ac:dyDescent="0.35">
      <c r="G49" s="3" t="s">
        <v>51</v>
      </c>
      <c r="H49" s="4">
        <v>1.19</v>
      </c>
    </row>
    <row r="50" spans="7:8" x14ac:dyDescent="0.35">
      <c r="G50" s="3" t="s">
        <v>47</v>
      </c>
      <c r="H50" s="4">
        <v>0.73</v>
      </c>
    </row>
    <row r="51" spans="7:8" x14ac:dyDescent="0.35">
      <c r="G51" s="3" t="s">
        <v>52</v>
      </c>
      <c r="H51" s="4">
        <v>0.33</v>
      </c>
    </row>
    <row r="52" spans="7:8" x14ac:dyDescent="0.35">
      <c r="G52" s="3" t="s">
        <v>53</v>
      </c>
      <c r="H52" s="4">
        <v>0.12</v>
      </c>
    </row>
    <row r="53" spans="7:8" x14ac:dyDescent="0.35">
      <c r="G53" s="3" t="s">
        <v>54</v>
      </c>
      <c r="H53" s="4">
        <v>2.52</v>
      </c>
    </row>
    <row r="54" spans="7:8" x14ac:dyDescent="0.35">
      <c r="G54" s="3" t="s">
        <v>55</v>
      </c>
      <c r="H54" s="4">
        <v>0.22</v>
      </c>
    </row>
    <row r="55" spans="7:8" x14ac:dyDescent="0.35">
      <c r="G55" s="3" t="s">
        <v>56</v>
      </c>
      <c r="H55" s="4">
        <v>1.2</v>
      </c>
    </row>
    <row r="56" spans="7:8" x14ac:dyDescent="0.35">
      <c r="G56" s="3" t="s">
        <v>57</v>
      </c>
      <c r="H56" s="4">
        <v>1.05</v>
      </c>
    </row>
    <row r="57" spans="7:8" x14ac:dyDescent="0.35">
      <c r="G57" s="3" t="s">
        <v>58</v>
      </c>
      <c r="H57" s="4">
        <v>2.2400000000000002</v>
      </c>
    </row>
    <row r="58" spans="7:8" x14ac:dyDescent="0.35">
      <c r="G58" s="3" t="s">
        <v>59</v>
      </c>
      <c r="H58" s="4">
        <v>1.77</v>
      </c>
    </row>
    <row r="59" spans="7:8" x14ac:dyDescent="0.35">
      <c r="G59" s="3" t="s">
        <v>60</v>
      </c>
      <c r="H59" s="4">
        <v>1.52</v>
      </c>
    </row>
    <row r="60" spans="7:8" x14ac:dyDescent="0.35">
      <c r="G60" s="3" t="s">
        <v>61</v>
      </c>
      <c r="H60" s="4">
        <v>0.03</v>
      </c>
    </row>
    <row r="61" spans="7:8" x14ac:dyDescent="0.35">
      <c r="G61" s="3" t="s">
        <v>62</v>
      </c>
      <c r="H61" s="4">
        <v>0.76</v>
      </c>
    </row>
    <row r="62" spans="7:8" x14ac:dyDescent="0.35">
      <c r="G62" s="3" t="s">
        <v>63</v>
      </c>
      <c r="H62" s="4">
        <v>1.43</v>
      </c>
    </row>
    <row r="63" spans="7:8" x14ac:dyDescent="0.35">
      <c r="G63" s="3" t="s">
        <v>64</v>
      </c>
      <c r="H63" s="4">
        <v>0.76</v>
      </c>
    </row>
    <row r="64" spans="7:8" x14ac:dyDescent="0.35">
      <c r="G64" s="3" t="s">
        <v>65</v>
      </c>
      <c r="H64" s="4">
        <v>0.64</v>
      </c>
    </row>
    <row r="65" spans="7:8" x14ac:dyDescent="0.35">
      <c r="G65" s="3" t="s">
        <v>66</v>
      </c>
      <c r="H65" s="4">
        <v>0.2</v>
      </c>
    </row>
    <row r="66" spans="7:8" x14ac:dyDescent="0.35">
      <c r="G66" s="3" t="s">
        <v>67</v>
      </c>
      <c r="H66" s="4">
        <v>0.91</v>
      </c>
    </row>
    <row r="67" spans="7:8" x14ac:dyDescent="0.35">
      <c r="G67" s="3" t="s">
        <v>70</v>
      </c>
      <c r="H67" s="4">
        <v>0.28000000000000003</v>
      </c>
    </row>
    <row r="68" spans="7:8" x14ac:dyDescent="0.35">
      <c r="G68" s="3" t="s">
        <v>71</v>
      </c>
      <c r="H68" s="4">
        <v>1.83</v>
      </c>
    </row>
    <row r="69" spans="7:8" x14ac:dyDescent="0.35">
      <c r="G69" s="3" t="s">
        <v>72</v>
      </c>
      <c r="H69" s="4">
        <v>1.2</v>
      </c>
    </row>
    <row r="70" spans="7:8" x14ac:dyDescent="0.35">
      <c r="G70" s="3" t="s">
        <v>73</v>
      </c>
      <c r="H70" s="4">
        <v>0.46</v>
      </c>
    </row>
    <row r="71" spans="7:8" x14ac:dyDescent="0.35">
      <c r="G71" s="3" t="s">
        <v>74</v>
      </c>
      <c r="H71" s="4">
        <v>0.65</v>
      </c>
    </row>
    <row r="72" spans="7:8" x14ac:dyDescent="0.35">
      <c r="G72" s="3" t="s">
        <v>68</v>
      </c>
      <c r="H72" s="4">
        <v>0</v>
      </c>
    </row>
    <row r="73" spans="7:8" x14ac:dyDescent="0.35">
      <c r="G73" s="3" t="s">
        <v>69</v>
      </c>
      <c r="H73" s="4">
        <v>1.48</v>
      </c>
    </row>
    <row r="74" spans="7:8" x14ac:dyDescent="0.35">
      <c r="G74" s="3" t="s">
        <v>75</v>
      </c>
      <c r="H74" s="4">
        <v>3.37</v>
      </c>
    </row>
    <row r="75" spans="7:8" x14ac:dyDescent="0.35">
      <c r="G75" s="3" t="s">
        <v>76</v>
      </c>
      <c r="H75" s="4">
        <v>4.7699999999999996</v>
      </c>
    </row>
    <row r="76" spans="7:8" x14ac:dyDescent="0.35">
      <c r="G76" s="3" t="s">
        <v>77</v>
      </c>
      <c r="H76" s="4">
        <v>2.1</v>
      </c>
    </row>
    <row r="77" spans="7:8" x14ac:dyDescent="0.35">
      <c r="G77" s="3" t="s">
        <v>78</v>
      </c>
      <c r="H77" s="4">
        <v>1.06</v>
      </c>
    </row>
    <row r="78" spans="7:8" x14ac:dyDescent="0.35">
      <c r="G78" s="3" t="s">
        <v>79</v>
      </c>
      <c r="H78" s="4">
        <v>1.01</v>
      </c>
    </row>
    <row r="79" spans="7:8" x14ac:dyDescent="0.35">
      <c r="G79" s="3" t="s">
        <v>80</v>
      </c>
      <c r="H79" s="4">
        <v>0.48</v>
      </c>
    </row>
    <row r="80" spans="7:8" x14ac:dyDescent="0.35">
      <c r="G80" s="3" t="s">
        <v>81</v>
      </c>
      <c r="H80" s="4">
        <v>1.9</v>
      </c>
    </row>
    <row r="81" spans="7:8" x14ac:dyDescent="0.35">
      <c r="G81" s="3" t="s">
        <v>82</v>
      </c>
      <c r="H81" s="4">
        <v>1.51</v>
      </c>
    </row>
    <row r="82" spans="7:8" x14ac:dyDescent="0.35">
      <c r="G82" s="3" t="s">
        <v>83</v>
      </c>
      <c r="H82" s="4">
        <v>0.83</v>
      </c>
    </row>
    <row r="83" spans="7:8" x14ac:dyDescent="0.35">
      <c r="G83" s="3" t="s">
        <v>84</v>
      </c>
      <c r="H83" s="4">
        <v>0.08</v>
      </c>
    </row>
    <row r="84" spans="7:8" x14ac:dyDescent="0.35">
      <c r="G84" s="3" t="s">
        <v>85</v>
      </c>
      <c r="H84" s="4">
        <v>133.16</v>
      </c>
    </row>
    <row r="85" spans="7:8" x14ac:dyDescent="0.35">
      <c r="G85" s="3" t="s">
        <v>86</v>
      </c>
      <c r="H85" s="4">
        <v>1.28</v>
      </c>
    </row>
    <row r="86" spans="7:8" x14ac:dyDescent="0.35">
      <c r="G86" s="3" t="s">
        <v>87</v>
      </c>
      <c r="H86" s="4">
        <v>0.79</v>
      </c>
    </row>
    <row r="87" spans="7:8" x14ac:dyDescent="0.35">
      <c r="G87" s="3" t="s">
        <v>88</v>
      </c>
      <c r="H87" s="4">
        <v>0.42</v>
      </c>
    </row>
    <row r="88" spans="7:8" x14ac:dyDescent="0.35">
      <c r="G88" s="3" t="s">
        <v>89</v>
      </c>
      <c r="H88" s="4">
        <v>0.43</v>
      </c>
    </row>
    <row r="89" spans="7:8" x14ac:dyDescent="0.35">
      <c r="G89" s="3" t="s">
        <v>90</v>
      </c>
      <c r="H89" s="4">
        <v>0.82</v>
      </c>
    </row>
    <row r="90" spans="7:8" x14ac:dyDescent="0.35">
      <c r="G90" s="3" t="s">
        <v>91</v>
      </c>
      <c r="H90" s="4">
        <v>0.63</v>
      </c>
    </row>
    <row r="91" spans="7:8" x14ac:dyDescent="0.35">
      <c r="G91" s="3" t="s">
        <v>92</v>
      </c>
      <c r="H91" s="4">
        <v>2.95</v>
      </c>
    </row>
    <row r="92" spans="7:8" x14ac:dyDescent="0.35">
      <c r="G92" s="3" t="s">
        <v>93</v>
      </c>
      <c r="H92" s="4">
        <v>0.92</v>
      </c>
    </row>
    <row r="93" spans="7:8" x14ac:dyDescent="0.35">
      <c r="G93" s="3" t="s">
        <v>94</v>
      </c>
      <c r="H93" s="4">
        <v>0.47</v>
      </c>
    </row>
    <row r="94" spans="7:8" x14ac:dyDescent="0.35">
      <c r="G94" s="3" t="s">
        <v>95</v>
      </c>
      <c r="H94" s="4">
        <v>0.85</v>
      </c>
    </row>
    <row r="95" spans="7:8" x14ac:dyDescent="0.35">
      <c r="G95" s="3" t="s">
        <v>96</v>
      </c>
      <c r="H95" s="4">
        <v>0.55000000000000004</v>
      </c>
    </row>
    <row r="96" spans="7:8" x14ac:dyDescent="0.35">
      <c r="G96" s="3" t="s">
        <v>97</v>
      </c>
      <c r="H96" s="4">
        <v>0.62</v>
      </c>
    </row>
    <row r="97" spans="7:8" x14ac:dyDescent="0.35">
      <c r="G97" s="3" t="s">
        <v>98</v>
      </c>
      <c r="H97" s="4">
        <v>0.18</v>
      </c>
    </row>
    <row r="98" spans="7:8" x14ac:dyDescent="0.35">
      <c r="G98" s="3" t="s">
        <v>99</v>
      </c>
      <c r="H98" s="4">
        <v>1.21</v>
      </c>
    </row>
    <row r="99" spans="7:8" x14ac:dyDescent="0.35">
      <c r="G99" s="3" t="s">
        <v>100</v>
      </c>
      <c r="H99" s="4">
        <v>0.5</v>
      </c>
    </row>
    <row r="100" spans="7:8" x14ac:dyDescent="0.35">
      <c r="G100" s="3" t="s">
        <v>101</v>
      </c>
      <c r="H100" s="4">
        <v>1.57</v>
      </c>
    </row>
    <row r="101" spans="7:8" x14ac:dyDescent="0.35">
      <c r="G101" s="3" t="s">
        <v>102</v>
      </c>
      <c r="H101" s="4">
        <v>1.21</v>
      </c>
    </row>
    <row r="102" spans="7:8" x14ac:dyDescent="0.35">
      <c r="G102" s="3" t="s">
        <v>103</v>
      </c>
      <c r="H102" s="4">
        <v>1.84</v>
      </c>
    </row>
    <row r="103" spans="7:8" x14ac:dyDescent="0.35">
      <c r="G103" s="3" t="s">
        <v>104</v>
      </c>
      <c r="H103" s="4">
        <v>1.75</v>
      </c>
    </row>
    <row r="104" spans="7:8" x14ac:dyDescent="0.35">
      <c r="G104" s="3" t="s">
        <v>105</v>
      </c>
      <c r="H104" s="4">
        <v>2.48</v>
      </c>
    </row>
    <row r="105" spans="7:8" x14ac:dyDescent="0.35">
      <c r="G105" s="3" t="s">
        <v>106</v>
      </c>
      <c r="H105" s="4">
        <v>2.35</v>
      </c>
    </row>
    <row r="106" spans="7:8" x14ac:dyDescent="0.35">
      <c r="G106" s="3" t="s">
        <v>107</v>
      </c>
      <c r="H106" s="4">
        <v>0.51</v>
      </c>
    </row>
    <row r="107" spans="7:8" x14ac:dyDescent="0.35">
      <c r="G107" s="3" t="s">
        <v>108</v>
      </c>
      <c r="H107" s="4">
        <v>2.2000000000000002</v>
      </c>
    </row>
    <row r="108" spans="7:8" x14ac:dyDescent="0.35">
      <c r="G108" s="3" t="s">
        <v>109</v>
      </c>
      <c r="H108" s="4">
        <v>0.11</v>
      </c>
    </row>
    <row r="109" spans="7:8" x14ac:dyDescent="0.35">
      <c r="G109" s="3" t="s">
        <v>110</v>
      </c>
      <c r="H109" s="4">
        <v>1.18</v>
      </c>
    </row>
    <row r="110" spans="7:8" x14ac:dyDescent="0.35">
      <c r="G110" s="3" t="s">
        <v>111</v>
      </c>
      <c r="H110" s="4">
        <v>2.37</v>
      </c>
    </row>
    <row r="111" spans="7:8" x14ac:dyDescent="0.35">
      <c r="G111" s="3" t="s">
        <v>112</v>
      </c>
      <c r="H111" s="4">
        <v>1.92</v>
      </c>
    </row>
    <row r="112" spans="7:8" x14ac:dyDescent="0.35">
      <c r="G112" s="3" t="s">
        <v>113</v>
      </c>
      <c r="H112" s="4">
        <v>1.03</v>
      </c>
    </row>
    <row r="113" spans="7:8" x14ac:dyDescent="0.35">
      <c r="G113" s="3" t="s">
        <v>114</v>
      </c>
      <c r="H113" s="4">
        <v>0.55000000000000004</v>
      </c>
    </row>
    <row r="114" spans="7:8" x14ac:dyDescent="0.35">
      <c r="G114" s="3" t="s">
        <v>115</v>
      </c>
      <c r="H114" s="4">
        <v>0.31</v>
      </c>
    </row>
    <row r="115" spans="7:8" x14ac:dyDescent="0.35">
      <c r="G115" s="3" t="s">
        <v>116</v>
      </c>
      <c r="H115" s="4">
        <v>0.26</v>
      </c>
    </row>
    <row r="116" spans="7:8" x14ac:dyDescent="0.35">
      <c r="G116" s="3" t="s">
        <v>117</v>
      </c>
      <c r="H116" s="4">
        <v>0.74</v>
      </c>
    </row>
    <row r="117" spans="7:8" x14ac:dyDescent="0.35">
      <c r="G117" s="3" t="s">
        <v>118</v>
      </c>
      <c r="H117" s="4">
        <v>0.94</v>
      </c>
    </row>
    <row r="118" spans="7:8" x14ac:dyDescent="0.35">
      <c r="G118" s="3" t="s">
        <v>119</v>
      </c>
      <c r="H118" s="4">
        <v>2.39</v>
      </c>
    </row>
    <row r="119" spans="7:8" x14ac:dyDescent="0.35">
      <c r="G119" s="3" t="s">
        <v>120</v>
      </c>
      <c r="H119" s="4">
        <v>0.22</v>
      </c>
    </row>
    <row r="120" spans="7:8" x14ac:dyDescent="0.35">
      <c r="G120" s="3" t="s">
        <v>121</v>
      </c>
      <c r="H120" s="4">
        <v>0.81</v>
      </c>
    </row>
    <row r="121" spans="7:8" x14ac:dyDescent="0.35">
      <c r="G121" s="3" t="s">
        <v>122</v>
      </c>
      <c r="H121" s="4">
        <v>0.98</v>
      </c>
    </row>
    <row r="122" spans="7:8" x14ac:dyDescent="0.35">
      <c r="G122" s="3" t="s">
        <v>123</v>
      </c>
      <c r="H122" s="4">
        <v>1.65</v>
      </c>
    </row>
    <row r="123" spans="7:8" x14ac:dyDescent="0.35">
      <c r="G123" s="3" t="s">
        <v>124</v>
      </c>
      <c r="H123" s="4">
        <v>0.47</v>
      </c>
    </row>
    <row r="124" spans="7:8" x14ac:dyDescent="0.35">
      <c r="G124" s="3" t="s">
        <v>125</v>
      </c>
      <c r="H124" s="4">
        <v>0.39</v>
      </c>
    </row>
    <row r="125" spans="7:8" x14ac:dyDescent="0.35">
      <c r="G125" s="3" t="s">
        <v>126</v>
      </c>
      <c r="H125" s="4">
        <v>1.45</v>
      </c>
    </row>
    <row r="126" spans="7:8" x14ac:dyDescent="0.35">
      <c r="G126" s="3" t="s">
        <v>127</v>
      </c>
      <c r="H126" s="4">
        <v>0.35</v>
      </c>
    </row>
    <row r="127" spans="7:8" x14ac:dyDescent="0.35">
      <c r="G127" s="3" t="s">
        <v>128</v>
      </c>
      <c r="H127" s="4">
        <v>0.68</v>
      </c>
    </row>
    <row r="128" spans="7:8" x14ac:dyDescent="0.35">
      <c r="G128" s="3" t="s">
        <v>129</v>
      </c>
      <c r="H128" s="4">
        <v>0.88</v>
      </c>
    </row>
    <row r="129" spans="7:8" x14ac:dyDescent="0.35">
      <c r="G129" s="3" t="s">
        <v>130</v>
      </c>
      <c r="H129" s="4">
        <v>2</v>
      </c>
    </row>
    <row r="130" spans="7:8" x14ac:dyDescent="0.35">
      <c r="G130" s="3" t="s">
        <v>131</v>
      </c>
      <c r="H130" s="4">
        <v>3.65</v>
      </c>
    </row>
    <row r="131" spans="7:8" x14ac:dyDescent="0.35">
      <c r="G131" s="3" t="s">
        <v>132</v>
      </c>
      <c r="H131" s="4">
        <v>1.27</v>
      </c>
    </row>
    <row r="132" spans="7:8" x14ac:dyDescent="0.35">
      <c r="G132" s="3" t="s">
        <v>133</v>
      </c>
      <c r="H132" s="4">
        <v>0.44</v>
      </c>
    </row>
    <row r="133" spans="7:8" x14ac:dyDescent="0.35">
      <c r="G133" s="3" t="s">
        <v>134</v>
      </c>
      <c r="H133" s="4">
        <v>0.71</v>
      </c>
    </row>
    <row r="134" spans="7:8" x14ac:dyDescent="0.35">
      <c r="G134" s="3" t="s">
        <v>135</v>
      </c>
      <c r="H134" s="4">
        <v>0.31</v>
      </c>
    </row>
    <row r="135" spans="7:8" x14ac:dyDescent="0.35">
      <c r="G135" s="3" t="s">
        <v>137</v>
      </c>
      <c r="H135" s="4">
        <v>0.44</v>
      </c>
    </row>
    <row r="136" spans="7:8" x14ac:dyDescent="0.35">
      <c r="G136" s="3" t="s">
        <v>138</v>
      </c>
      <c r="H136" s="4">
        <v>2.08</v>
      </c>
    </row>
    <row r="137" spans="7:8" x14ac:dyDescent="0.35">
      <c r="G137" s="3" t="s">
        <v>139</v>
      </c>
      <c r="H137" s="4">
        <v>3</v>
      </c>
    </row>
    <row r="138" spans="7:8" x14ac:dyDescent="0.35">
      <c r="G138" s="3" t="s">
        <v>140</v>
      </c>
      <c r="H138" s="4">
        <v>0.71</v>
      </c>
    </row>
    <row r="139" spans="7:8" x14ac:dyDescent="0.35">
      <c r="G139" s="3" t="s">
        <v>141</v>
      </c>
      <c r="H139" s="4">
        <v>0.17</v>
      </c>
    </row>
    <row r="140" spans="7:8" x14ac:dyDescent="0.35">
      <c r="G140" s="3" t="s">
        <v>142</v>
      </c>
      <c r="H140" s="4">
        <v>2.2400000000000002</v>
      </c>
    </row>
    <row r="141" spans="7:8" x14ac:dyDescent="0.35">
      <c r="G141" s="3" t="s">
        <v>143</v>
      </c>
      <c r="H141" s="4">
        <v>0.73</v>
      </c>
    </row>
    <row r="142" spans="7:8" x14ac:dyDescent="0.35">
      <c r="G142" s="3" t="s">
        <v>144</v>
      </c>
      <c r="H142" s="4">
        <v>0.11</v>
      </c>
    </row>
    <row r="143" spans="7:8" x14ac:dyDescent="0.35">
      <c r="G143" s="3" t="s">
        <v>145</v>
      </c>
      <c r="H143" s="4">
        <v>0.48</v>
      </c>
    </row>
    <row r="144" spans="7:8" x14ac:dyDescent="0.35">
      <c r="G144" s="3" t="s">
        <v>146</v>
      </c>
      <c r="H144" s="4">
        <v>1.56</v>
      </c>
    </row>
    <row r="145" spans="7:8" x14ac:dyDescent="0.35">
      <c r="G145" s="3" t="s">
        <v>147</v>
      </c>
      <c r="H145" s="4">
        <v>2.44</v>
      </c>
    </row>
    <row r="146" spans="7:8" x14ac:dyDescent="0.35">
      <c r="G146" s="3" t="s">
        <v>148</v>
      </c>
      <c r="H146" s="4">
        <v>0.45</v>
      </c>
    </row>
    <row r="147" spans="7:8" x14ac:dyDescent="0.35">
      <c r="G147" s="3" t="s">
        <v>149</v>
      </c>
      <c r="H147" s="4">
        <v>4.3499999999999996</v>
      </c>
    </row>
    <row r="148" spans="7:8" x14ac:dyDescent="0.35">
      <c r="G148" s="3" t="s">
        <v>150</v>
      </c>
      <c r="H148" s="4">
        <v>0.24</v>
      </c>
    </row>
    <row r="149" spans="7:8" x14ac:dyDescent="0.35">
      <c r="G149" s="3" t="s">
        <v>151</v>
      </c>
      <c r="H149" s="4">
        <v>1.92</v>
      </c>
    </row>
    <row r="150" spans="7:8" x14ac:dyDescent="0.35">
      <c r="G150" s="3" t="s">
        <v>152</v>
      </c>
      <c r="H150" s="4">
        <v>0.39</v>
      </c>
    </row>
    <row r="151" spans="7:8" x14ac:dyDescent="0.35">
      <c r="G151" s="3" t="s">
        <v>153</v>
      </c>
      <c r="H151" s="4">
        <v>0.23</v>
      </c>
    </row>
    <row r="152" spans="7:8" x14ac:dyDescent="0.35">
      <c r="G152" s="3" t="s">
        <v>154</v>
      </c>
      <c r="H152" s="4">
        <v>0.96</v>
      </c>
    </row>
    <row r="153" spans="7:8" x14ac:dyDescent="0.35">
      <c r="G153" s="3" t="s">
        <v>155</v>
      </c>
      <c r="H153" s="4">
        <v>0.56999999999999995</v>
      </c>
    </row>
    <row r="154" spans="7:8" x14ac:dyDescent="0.35">
      <c r="G154" s="3" t="s">
        <v>156</v>
      </c>
      <c r="H154" s="4">
        <v>1.27</v>
      </c>
    </row>
    <row r="155" spans="7:8" x14ac:dyDescent="0.35">
      <c r="G155" s="3" t="s">
        <v>157</v>
      </c>
      <c r="H155" s="4">
        <v>0.96</v>
      </c>
    </row>
    <row r="156" spans="7:8" x14ac:dyDescent="0.35">
      <c r="G156" s="3" t="s">
        <v>136</v>
      </c>
      <c r="H156" s="4">
        <v>22.22</v>
      </c>
    </row>
    <row r="157" spans="7:8" x14ac:dyDescent="0.35">
      <c r="G157" s="3" t="s">
        <v>158</v>
      </c>
      <c r="H157" s="4">
        <v>3.04</v>
      </c>
    </row>
    <row r="158" spans="7:8" x14ac:dyDescent="0.35">
      <c r="G158" s="3" t="s">
        <v>159</v>
      </c>
      <c r="H158" s="4">
        <v>2.38</v>
      </c>
    </row>
    <row r="159" spans="7:8" x14ac:dyDescent="0.35">
      <c r="G159" s="3" t="s">
        <v>160</v>
      </c>
      <c r="H159" s="4">
        <v>0.02</v>
      </c>
    </row>
    <row r="160" spans="7:8" x14ac:dyDescent="0.35">
      <c r="G160" s="3" t="s">
        <v>161</v>
      </c>
      <c r="H160" s="4">
        <v>1.2</v>
      </c>
    </row>
    <row r="161" spans="7:8" x14ac:dyDescent="0.35">
      <c r="G161" s="3" t="s">
        <v>162</v>
      </c>
      <c r="H161" s="4">
        <v>0.27</v>
      </c>
    </row>
    <row r="162" spans="7:8" x14ac:dyDescent="0.35">
      <c r="G162" s="3" t="s">
        <v>163</v>
      </c>
      <c r="H162" s="4">
        <v>0.39</v>
      </c>
    </row>
    <row r="163" spans="7:8" x14ac:dyDescent="0.35">
      <c r="G163" s="3" t="s">
        <v>164</v>
      </c>
      <c r="H163" s="4">
        <v>0.22</v>
      </c>
    </row>
    <row r="164" spans="7:8" x14ac:dyDescent="0.35">
      <c r="G164" s="3" t="s">
        <v>165</v>
      </c>
      <c r="H164" s="4">
        <v>1.22</v>
      </c>
    </row>
    <row r="165" spans="7:8" x14ac:dyDescent="0.35">
      <c r="G165" s="3" t="s">
        <v>166</v>
      </c>
      <c r="H165" s="4">
        <v>3.14</v>
      </c>
    </row>
    <row r="166" spans="7:8" x14ac:dyDescent="0.35">
      <c r="G166" s="3" t="s">
        <v>167</v>
      </c>
      <c r="H166" s="4">
        <v>1.18</v>
      </c>
    </row>
    <row r="167" spans="7:8" x14ac:dyDescent="0.35">
      <c r="G167" s="3" t="s">
        <v>168</v>
      </c>
      <c r="H167" s="4">
        <v>242.68</v>
      </c>
    </row>
    <row r="168" spans="7:8" x14ac:dyDescent="0.35">
      <c r="G168" s="3" t="s">
        <v>169</v>
      </c>
      <c r="H168" s="4">
        <v>1.29</v>
      </c>
    </row>
    <row r="169" spans="7:8" x14ac:dyDescent="0.35">
      <c r="G169" s="3" t="s">
        <v>170</v>
      </c>
      <c r="H169" s="4">
        <v>2.85</v>
      </c>
    </row>
    <row r="170" spans="7:8" x14ac:dyDescent="0.35">
      <c r="G170" s="3" t="s">
        <v>171</v>
      </c>
      <c r="H170" s="4">
        <v>0.44</v>
      </c>
    </row>
    <row r="171" spans="7:8" x14ac:dyDescent="0.35">
      <c r="G171" s="3" t="s">
        <v>172</v>
      </c>
      <c r="H171" s="4">
        <v>0.22</v>
      </c>
    </row>
    <row r="172" spans="7:8" x14ac:dyDescent="0.35">
      <c r="G172" s="3" t="s">
        <v>173</v>
      </c>
      <c r="H172" s="4">
        <v>1.1599999999999999</v>
      </c>
    </row>
    <row r="173" spans="7:8" x14ac:dyDescent="0.35">
      <c r="G173" s="3" t="s">
        <v>174</v>
      </c>
      <c r="H173" s="4">
        <v>1.94</v>
      </c>
    </row>
    <row r="174" spans="7:8" x14ac:dyDescent="0.35">
      <c r="G174" s="3" t="s">
        <v>175</v>
      </c>
      <c r="H174" s="4">
        <v>0.16</v>
      </c>
    </row>
    <row r="175" spans="7:8" x14ac:dyDescent="0.35">
      <c r="G175" s="3" t="s">
        <v>176</v>
      </c>
      <c r="H175" s="4">
        <v>0.87</v>
      </c>
    </row>
    <row r="176" spans="7:8" x14ac:dyDescent="0.35">
      <c r="G176" s="3" t="s">
        <v>177</v>
      </c>
      <c r="H176" s="4">
        <v>0.82</v>
      </c>
    </row>
    <row r="177" spans="7:8" x14ac:dyDescent="0.35">
      <c r="G177" s="3" t="s">
        <v>178</v>
      </c>
      <c r="H177" s="4">
        <v>1.43</v>
      </c>
    </row>
    <row r="178" spans="7:8" x14ac:dyDescent="0.35">
      <c r="G178" s="3" t="s">
        <v>179</v>
      </c>
      <c r="H178" s="4">
        <v>2.41</v>
      </c>
    </row>
    <row r="179" spans="7:8" x14ac:dyDescent="0.35">
      <c r="G179" s="3" t="s">
        <v>180</v>
      </c>
      <c r="H179" s="4">
        <v>4.8600000000000003</v>
      </c>
    </row>
    <row r="180" spans="7:8" x14ac:dyDescent="0.35">
      <c r="G180" s="3" t="s">
        <v>181</v>
      </c>
      <c r="H180" s="4">
        <v>1.61</v>
      </c>
    </row>
    <row r="181" spans="7:8" x14ac:dyDescent="0.35">
      <c r="G181" s="3" t="s">
        <v>182</v>
      </c>
      <c r="H181" s="4">
        <v>1.81</v>
      </c>
    </row>
    <row r="182" spans="7:8" x14ac:dyDescent="0.35">
      <c r="G182" s="3" t="s">
        <v>183</v>
      </c>
      <c r="H182" s="4">
        <v>0.5</v>
      </c>
    </row>
    <row r="183" spans="7:8" x14ac:dyDescent="0.35">
      <c r="G183" s="3" t="s">
        <v>184</v>
      </c>
      <c r="H183" s="4">
        <v>0.13</v>
      </c>
    </row>
    <row r="184" spans="7:8" x14ac:dyDescent="0.35">
      <c r="G184" s="3" t="s">
        <v>185</v>
      </c>
      <c r="H184" s="4">
        <v>0.19</v>
      </c>
    </row>
    <row r="185" spans="7:8" x14ac:dyDescent="0.35">
      <c r="G185" s="3" t="s">
        <v>186</v>
      </c>
      <c r="H185" s="4">
        <v>1.95</v>
      </c>
    </row>
    <row r="186" spans="7:8" x14ac:dyDescent="0.35">
      <c r="G186" s="3" t="s">
        <v>187</v>
      </c>
      <c r="H186" s="4">
        <v>1.67</v>
      </c>
    </row>
    <row r="187" spans="7:8" x14ac:dyDescent="0.35">
      <c r="G187" s="3" t="s">
        <v>188</v>
      </c>
      <c r="H187" s="4">
        <v>1.1000000000000001</v>
      </c>
    </row>
    <row r="188" spans="7:8" x14ac:dyDescent="0.35">
      <c r="G188" s="3" t="s">
        <v>190</v>
      </c>
      <c r="H188" s="4">
        <v>118.65</v>
      </c>
    </row>
    <row r="189" spans="7:8" x14ac:dyDescent="0.35">
      <c r="G189" s="3" t="s">
        <v>191</v>
      </c>
      <c r="H189" s="4">
        <v>0.73</v>
      </c>
    </row>
    <row r="190" spans="7:8" x14ac:dyDescent="0.35">
      <c r="G190" s="3" t="s">
        <v>192</v>
      </c>
      <c r="H190" s="4">
        <v>1.36</v>
      </c>
    </row>
    <row r="191" spans="7:8" x14ac:dyDescent="0.35">
      <c r="G191" s="3" t="s">
        <v>193</v>
      </c>
      <c r="H191" s="4">
        <v>0.51</v>
      </c>
    </row>
    <row r="192" spans="7:8" x14ac:dyDescent="0.35">
      <c r="G192" s="3" t="s">
        <v>194</v>
      </c>
      <c r="H192" s="4">
        <v>0.06</v>
      </c>
    </row>
    <row r="193" spans="7:8" x14ac:dyDescent="0.35">
      <c r="G193" s="3" t="s">
        <v>195</v>
      </c>
      <c r="H193" s="4">
        <v>0.18</v>
      </c>
    </row>
    <row r="194" spans="7:8" x14ac:dyDescent="0.35">
      <c r="G194" s="3" t="s">
        <v>196</v>
      </c>
      <c r="H194" s="4">
        <v>0.49</v>
      </c>
    </row>
    <row r="195" spans="7:8" x14ac:dyDescent="0.35">
      <c r="G195" s="3" t="s">
        <v>197</v>
      </c>
      <c r="H195" s="4">
        <v>1.18</v>
      </c>
    </row>
    <row r="196" spans="7:8" x14ac:dyDescent="0.35">
      <c r="G196" s="3" t="s">
        <v>198</v>
      </c>
      <c r="H196" s="4">
        <v>1.1499999999999999</v>
      </c>
    </row>
    <row r="197" spans="7:8" x14ac:dyDescent="0.35">
      <c r="G197" s="3" t="s">
        <v>199</v>
      </c>
      <c r="H197" s="4">
        <v>2.21</v>
      </c>
    </row>
    <row r="198" spans="7:8" x14ac:dyDescent="0.35">
      <c r="G198" s="3" t="s">
        <v>200</v>
      </c>
      <c r="H198" s="4">
        <v>0.69</v>
      </c>
    </row>
    <row r="199" spans="7:8" x14ac:dyDescent="0.35">
      <c r="G199" s="3" t="s">
        <v>201</v>
      </c>
      <c r="H199" s="4">
        <v>0.34</v>
      </c>
    </row>
    <row r="200" spans="7:8" x14ac:dyDescent="0.35">
      <c r="G200" s="3" t="s">
        <v>202</v>
      </c>
      <c r="H200" s="4">
        <v>1.62</v>
      </c>
    </row>
    <row r="201" spans="7:8" x14ac:dyDescent="0.35">
      <c r="G201" s="3" t="s">
        <v>203</v>
      </c>
      <c r="H201" s="4">
        <v>7.0000000000000007E-2</v>
      </c>
    </row>
    <row r="202" spans="7:8" x14ac:dyDescent="0.35">
      <c r="G202" s="3" t="s">
        <v>204</v>
      </c>
      <c r="H202" s="4">
        <v>0.83</v>
      </c>
    </row>
    <row r="203" spans="7:8" x14ac:dyDescent="0.35">
      <c r="G203" s="3" t="s">
        <v>189</v>
      </c>
      <c r="H203" s="4">
        <v>0.1</v>
      </c>
    </row>
    <row r="204" spans="7:8" x14ac:dyDescent="0.35">
      <c r="G204" s="3" t="s">
        <v>205</v>
      </c>
      <c r="H204" s="4">
        <v>1.1299999999999999</v>
      </c>
    </row>
    <row r="205" spans="7:8" x14ac:dyDescent="0.35">
      <c r="G205" s="3" t="s">
        <v>206</v>
      </c>
      <c r="H205" s="4">
        <v>0.52</v>
      </c>
    </row>
    <row r="206" spans="7:8" x14ac:dyDescent="0.35">
      <c r="G206" s="3" t="s">
        <v>207</v>
      </c>
      <c r="H206" s="4">
        <v>0.77</v>
      </c>
    </row>
    <row r="207" spans="7:8" x14ac:dyDescent="0.35">
      <c r="G207" s="3" t="s">
        <v>208</v>
      </c>
      <c r="H207" s="4">
        <v>4.9800000000000004</v>
      </c>
    </row>
    <row r="208" spans="7:8" x14ac:dyDescent="0.35">
      <c r="G208" s="3" t="s">
        <v>209</v>
      </c>
      <c r="H208" s="4">
        <v>2.52</v>
      </c>
    </row>
    <row r="209" spans="7:8" x14ac:dyDescent="0.35">
      <c r="G209" s="3" t="s">
        <v>210</v>
      </c>
      <c r="H209" s="4">
        <v>1.95</v>
      </c>
    </row>
    <row r="210" spans="7:8" x14ac:dyDescent="0.35">
      <c r="G210" s="3" t="s">
        <v>211</v>
      </c>
      <c r="H210" s="4">
        <v>0.78</v>
      </c>
    </row>
    <row r="211" spans="7:8" x14ac:dyDescent="0.35">
      <c r="G211" s="3" t="s">
        <v>212</v>
      </c>
      <c r="H211" s="4">
        <v>0.88</v>
      </c>
    </row>
    <row r="212" spans="7:8" x14ac:dyDescent="0.35">
      <c r="G212" s="3" t="s">
        <v>213</v>
      </c>
      <c r="H212" s="4">
        <v>2.5099999999999998</v>
      </c>
    </row>
    <row r="213" spans="7:8" x14ac:dyDescent="0.35">
      <c r="G213" s="3" t="s">
        <v>214</v>
      </c>
      <c r="H213" s="4">
        <v>0.11</v>
      </c>
    </row>
    <row r="214" spans="7:8" x14ac:dyDescent="0.35">
      <c r="G214" s="3" t="s">
        <v>215</v>
      </c>
      <c r="H214" s="4">
        <v>1.28</v>
      </c>
    </row>
    <row r="215" spans="7:8" x14ac:dyDescent="0.35">
      <c r="G215" s="3" t="s">
        <v>216</v>
      </c>
      <c r="H215" s="4">
        <v>7.89</v>
      </c>
    </row>
    <row r="216" spans="7:8" x14ac:dyDescent="0.35">
      <c r="G216" s="3" t="s">
        <v>217</v>
      </c>
      <c r="H216" s="4">
        <v>1.7</v>
      </c>
    </row>
    <row r="217" spans="7:8" x14ac:dyDescent="0.35">
      <c r="G217" s="3" t="s">
        <v>218</v>
      </c>
      <c r="H217" s="4">
        <v>1</v>
      </c>
    </row>
    <row r="218" spans="7:8" x14ac:dyDescent="0.35">
      <c r="G218" s="3" t="s">
        <v>219</v>
      </c>
      <c r="H218" s="4">
        <v>0.32</v>
      </c>
    </row>
    <row r="219" spans="7:8" x14ac:dyDescent="0.35">
      <c r="G219" s="3" t="s">
        <v>220</v>
      </c>
      <c r="H219" s="4">
        <v>5.48</v>
      </c>
    </row>
    <row r="220" spans="7:8" x14ac:dyDescent="0.35">
      <c r="G220" s="3" t="s">
        <v>221</v>
      </c>
      <c r="H220" s="4">
        <v>0.19</v>
      </c>
    </row>
    <row r="221" spans="7:8" x14ac:dyDescent="0.35">
      <c r="G221" s="3" t="s">
        <v>222</v>
      </c>
      <c r="H221" s="4">
        <v>0.7</v>
      </c>
    </row>
    <row r="222" spans="7:8" x14ac:dyDescent="0.35">
      <c r="G222" s="3" t="s">
        <v>223</v>
      </c>
      <c r="H222" s="4">
        <v>1.96</v>
      </c>
    </row>
    <row r="223" spans="7:8" x14ac:dyDescent="0.35">
      <c r="G223" s="3" t="s">
        <v>224</v>
      </c>
      <c r="H223" s="4">
        <v>0.73</v>
      </c>
    </row>
    <row r="224" spans="7:8" x14ac:dyDescent="0.35">
      <c r="G224" s="3" t="s">
        <v>225</v>
      </c>
      <c r="H224" s="4">
        <v>0.59</v>
      </c>
    </row>
    <row r="225" spans="7:8" x14ac:dyDescent="0.35">
      <c r="G225" s="3" t="s">
        <v>226</v>
      </c>
      <c r="H225" s="4">
        <v>0.73</v>
      </c>
    </row>
    <row r="226" spans="7:8" x14ac:dyDescent="0.35">
      <c r="G226" s="3" t="s">
        <v>227</v>
      </c>
      <c r="H226" s="4">
        <v>3212.5</v>
      </c>
    </row>
    <row r="227" spans="7:8" x14ac:dyDescent="0.35">
      <c r="G227" s="3" t="s">
        <v>228</v>
      </c>
      <c r="H227" s="4">
        <v>0.08</v>
      </c>
    </row>
    <row r="228" spans="7:8" x14ac:dyDescent="0.35">
      <c r="G228" s="3" t="s">
        <v>229</v>
      </c>
      <c r="H228" s="4">
        <v>2.29</v>
      </c>
    </row>
    <row r="229" spans="7:8" x14ac:dyDescent="0.35">
      <c r="G229" s="3" t="s">
        <v>230</v>
      </c>
      <c r="H229" s="4">
        <v>2.5499999999999998</v>
      </c>
    </row>
    <row r="230" spans="7:8" x14ac:dyDescent="0.35">
      <c r="G230" s="3" t="s">
        <v>231</v>
      </c>
      <c r="H230" s="4">
        <v>0.59</v>
      </c>
    </row>
    <row r="231" spans="7:8" x14ac:dyDescent="0.35">
      <c r="G231" s="3" t="s">
        <v>232</v>
      </c>
      <c r="H231" s="4">
        <v>0.59</v>
      </c>
    </row>
    <row r="232" spans="7:8" x14ac:dyDescent="0.35">
      <c r="G232" s="3" t="s">
        <v>233</v>
      </c>
      <c r="H232" s="4">
        <v>0.03</v>
      </c>
    </row>
    <row r="233" spans="7:8" x14ac:dyDescent="0.35">
      <c r="G233" s="3" t="s">
        <v>234</v>
      </c>
      <c r="H233" s="4">
        <v>0.22</v>
      </c>
    </row>
    <row r="234" spans="7:8" x14ac:dyDescent="0.35">
      <c r="G234" s="3" t="s">
        <v>237</v>
      </c>
      <c r="H234" s="4">
        <v>2.11</v>
      </c>
    </row>
    <row r="235" spans="7:8" x14ac:dyDescent="0.35">
      <c r="G235" s="3" t="s">
        <v>235</v>
      </c>
      <c r="H235" s="4">
        <v>0.93</v>
      </c>
    </row>
    <row r="236" spans="7:8" x14ac:dyDescent="0.35">
      <c r="G236" s="3" t="s">
        <v>238</v>
      </c>
      <c r="H236" s="4">
        <v>2.02</v>
      </c>
    </row>
    <row r="237" spans="7:8" x14ac:dyDescent="0.35">
      <c r="G237" s="3" t="s">
        <v>239</v>
      </c>
      <c r="H237" s="4">
        <v>0.74</v>
      </c>
    </row>
    <row r="238" spans="7:8" x14ac:dyDescent="0.35">
      <c r="G238" s="3" t="s">
        <v>236</v>
      </c>
      <c r="H238" s="4">
        <v>1.0900000000000001</v>
      </c>
    </row>
    <row r="239" spans="7:8" x14ac:dyDescent="0.35">
      <c r="G239" s="3" t="s">
        <v>240</v>
      </c>
      <c r="H239" s="4">
        <v>0.65</v>
      </c>
    </row>
    <row r="240" spans="7:8" x14ac:dyDescent="0.35">
      <c r="G240" s="3" t="s">
        <v>241</v>
      </c>
      <c r="H240" s="4">
        <v>0.12</v>
      </c>
    </row>
    <row r="241" spans="7:8" x14ac:dyDescent="0.35">
      <c r="G241" s="3" t="s">
        <v>242</v>
      </c>
      <c r="H241" s="4">
        <v>8862.07</v>
      </c>
    </row>
    <row r="242" spans="7:8" x14ac:dyDescent="0.35">
      <c r="G242" s="3" t="s">
        <v>243</v>
      </c>
      <c r="H242" s="4">
        <v>1.06</v>
      </c>
    </row>
    <row r="243" spans="7:8" x14ac:dyDescent="0.35">
      <c r="G243" s="3" t="s">
        <v>244</v>
      </c>
      <c r="H243" s="4">
        <v>0.37</v>
      </c>
    </row>
    <row r="244" spans="7:8" x14ac:dyDescent="0.35">
      <c r="G244" s="3" t="s">
        <v>245</v>
      </c>
      <c r="H244" s="4">
        <v>0.23</v>
      </c>
    </row>
    <row r="245" spans="7:8" x14ac:dyDescent="0.35">
      <c r="G245" s="3" t="s">
        <v>246</v>
      </c>
      <c r="H245" s="4">
        <v>10</v>
      </c>
    </row>
    <row r="246" spans="7:8" x14ac:dyDescent="0.35">
      <c r="G246" s="3" t="s">
        <v>247</v>
      </c>
      <c r="H246" s="4">
        <v>18.07</v>
      </c>
    </row>
    <row r="247" spans="7:8" x14ac:dyDescent="0.35">
      <c r="G247" s="3" t="s">
        <v>248</v>
      </c>
      <c r="H247" s="4">
        <v>1.1599999999999999</v>
      </c>
    </row>
    <row r="248" spans="7:8" x14ac:dyDescent="0.35">
      <c r="G248" s="3" t="s">
        <v>249</v>
      </c>
      <c r="H248" s="4">
        <v>2.15</v>
      </c>
    </row>
    <row r="249" spans="7:8" x14ac:dyDescent="0.35">
      <c r="G249" s="3" t="s">
        <v>251</v>
      </c>
      <c r="H249" s="4">
        <v>12896.13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51"/>
  <sheetViews>
    <sheetView topLeftCell="A28" zoomScale="90" zoomScaleNormal="90" workbookViewId="0">
      <selection activeCell="M36" sqref="M36"/>
    </sheetView>
  </sheetViews>
  <sheetFormatPr defaultRowHeight="14.5" x14ac:dyDescent="0.35"/>
  <sheetData>
    <row r="1" spans="2:20" ht="15" thickBot="1" x14ac:dyDescent="0.4"/>
    <row r="2" spans="2:20" x14ac:dyDescent="0.35"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9"/>
    </row>
    <row r="3" spans="2:20" x14ac:dyDescent="0.35">
      <c r="B3" s="10"/>
      <c r="C3" s="11"/>
      <c r="D3" s="11"/>
      <c r="E3" s="12" t="s">
        <v>267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1"/>
      <c r="S3" s="11"/>
      <c r="T3" s="14"/>
    </row>
    <row r="4" spans="2:20" x14ac:dyDescent="0.35">
      <c r="B4" s="10"/>
      <c r="C4" s="11"/>
      <c r="D4" s="11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1"/>
      <c r="S4" s="11"/>
      <c r="T4" s="14"/>
    </row>
    <row r="5" spans="2:20" x14ac:dyDescent="0.35">
      <c r="B5" s="10"/>
      <c r="C5" s="11"/>
      <c r="D5" s="11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1"/>
      <c r="S5" s="11"/>
      <c r="T5" s="14"/>
    </row>
    <row r="6" spans="2:20" x14ac:dyDescent="0.35">
      <c r="B6" s="10"/>
      <c r="C6" s="11"/>
      <c r="D6" s="11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1"/>
      <c r="S6" s="11"/>
      <c r="T6" s="14"/>
    </row>
    <row r="7" spans="2:20" x14ac:dyDescent="0.35"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4"/>
    </row>
    <row r="8" spans="2:20" x14ac:dyDescent="0.35"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4"/>
    </row>
    <row r="9" spans="2:20" x14ac:dyDescent="0.35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4"/>
    </row>
    <row r="10" spans="2:20" x14ac:dyDescent="0.35">
      <c r="B10" s="10"/>
      <c r="C10" s="15" t="s">
        <v>278</v>
      </c>
      <c r="D10" s="15"/>
      <c r="E10" s="11"/>
      <c r="F10" s="15" t="s">
        <v>279</v>
      </c>
      <c r="G10" s="15"/>
      <c r="H10" s="11"/>
      <c r="I10" s="15" t="s">
        <v>280</v>
      </c>
      <c r="J10" s="15"/>
      <c r="K10" s="11"/>
      <c r="L10" s="15" t="s">
        <v>281</v>
      </c>
      <c r="M10" s="15"/>
      <c r="N10" s="11"/>
      <c r="O10" s="11"/>
      <c r="P10" s="11"/>
      <c r="Q10" s="11"/>
      <c r="R10" s="11"/>
      <c r="S10" s="11"/>
      <c r="T10" s="14"/>
    </row>
    <row r="11" spans="2:20" x14ac:dyDescent="0.35">
      <c r="B11" s="10"/>
      <c r="C11" s="16">
        <f>SUM(Table!E:E)</f>
        <v>1409507059</v>
      </c>
      <c r="D11" s="16"/>
      <c r="E11" s="11"/>
      <c r="F11" s="17">
        <f>SUM(Table!H:H)</f>
        <v>152593636</v>
      </c>
      <c r="G11" s="17"/>
      <c r="H11" s="11"/>
      <c r="I11" s="18">
        <f>SUM(Table!I:I)</f>
        <v>5585178620</v>
      </c>
      <c r="J11" s="18"/>
      <c r="K11" s="11"/>
      <c r="L11" s="19">
        <f>SUM(Table!F:F)</f>
        <v>1247473755</v>
      </c>
      <c r="M11" s="19"/>
      <c r="N11" s="11"/>
      <c r="O11" s="11"/>
      <c r="P11" s="11"/>
      <c r="Q11" s="11"/>
      <c r="R11" s="11"/>
      <c r="S11" s="11"/>
      <c r="T11" s="14"/>
    </row>
    <row r="12" spans="2:20" x14ac:dyDescent="0.35">
      <c r="B12" s="10"/>
      <c r="C12" s="16"/>
      <c r="D12" s="16"/>
      <c r="E12" s="11"/>
      <c r="F12" s="17"/>
      <c r="G12" s="17"/>
      <c r="H12" s="11"/>
      <c r="I12" s="18"/>
      <c r="J12" s="18"/>
      <c r="K12" s="11"/>
      <c r="L12" s="19"/>
      <c r="M12" s="19"/>
      <c r="N12" s="11"/>
      <c r="O12" s="11"/>
      <c r="P12" s="11"/>
      <c r="Q12" s="11"/>
      <c r="R12" s="11"/>
      <c r="S12" s="11"/>
      <c r="T12" s="14"/>
    </row>
    <row r="13" spans="2:20" x14ac:dyDescent="0.35">
      <c r="B13" s="10"/>
      <c r="C13" s="16"/>
      <c r="D13" s="16"/>
      <c r="E13" s="11"/>
      <c r="F13" s="17"/>
      <c r="G13" s="17"/>
      <c r="H13" s="11"/>
      <c r="I13" s="18"/>
      <c r="J13" s="18"/>
      <c r="K13" s="11"/>
      <c r="L13" s="19"/>
      <c r="M13" s="19"/>
      <c r="N13" s="11"/>
      <c r="O13" s="11"/>
      <c r="P13" s="11"/>
      <c r="Q13" s="11"/>
      <c r="R13" s="11"/>
      <c r="S13" s="11"/>
      <c r="T13" s="14"/>
    </row>
    <row r="14" spans="2:20" x14ac:dyDescent="0.35"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4"/>
    </row>
    <row r="15" spans="2:20" x14ac:dyDescent="0.35"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4"/>
    </row>
    <row r="16" spans="2:20" x14ac:dyDescent="0.35"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4"/>
    </row>
    <row r="17" spans="2:20" x14ac:dyDescent="0.35">
      <c r="B17" s="10"/>
      <c r="C17" s="15" t="s">
        <v>282</v>
      </c>
      <c r="D17" s="15"/>
      <c r="E17" s="11"/>
      <c r="F17" s="15" t="s">
        <v>283</v>
      </c>
      <c r="G17" s="15"/>
      <c r="H17" s="11"/>
      <c r="I17" s="15" t="s">
        <v>286</v>
      </c>
      <c r="J17" s="15"/>
      <c r="K17" s="11"/>
      <c r="L17" s="11"/>
      <c r="M17" s="11"/>
      <c r="N17" s="11"/>
      <c r="O17" s="11"/>
      <c r="P17" s="11"/>
      <c r="Q17" s="11"/>
      <c r="R17" s="11"/>
      <c r="S17" s="11"/>
      <c r="T17" s="14"/>
    </row>
    <row r="18" spans="2:20" x14ac:dyDescent="0.35">
      <c r="B18" s="10"/>
      <c r="C18" s="20">
        <f>SUM(Table!G:G)</f>
        <v>14034197</v>
      </c>
      <c r="D18" s="20"/>
      <c r="E18" s="11"/>
      <c r="F18" s="21">
        <f>SUM(Table!M:M)</f>
        <v>7079934497</v>
      </c>
      <c r="G18" s="21"/>
      <c r="H18" s="11"/>
      <c r="I18" s="22">
        <f>COUNTA(Table!A:A)</f>
        <v>238</v>
      </c>
      <c r="J18" s="22"/>
      <c r="K18" s="11"/>
      <c r="L18" s="11"/>
      <c r="M18" s="11"/>
      <c r="N18" s="11"/>
      <c r="O18" s="11"/>
      <c r="P18" s="11"/>
      <c r="Q18" s="11"/>
      <c r="R18" s="11"/>
      <c r="S18" s="11"/>
      <c r="T18" s="14"/>
    </row>
    <row r="19" spans="2:20" x14ac:dyDescent="0.35">
      <c r="B19" s="10"/>
      <c r="C19" s="20"/>
      <c r="D19" s="20"/>
      <c r="E19" s="11"/>
      <c r="F19" s="21"/>
      <c r="G19" s="21"/>
      <c r="H19" s="11"/>
      <c r="I19" s="22"/>
      <c r="J19" s="22"/>
      <c r="K19" s="11"/>
      <c r="L19" s="11"/>
      <c r="M19" s="11"/>
      <c r="N19" s="11"/>
      <c r="O19" s="11"/>
      <c r="P19" s="11"/>
      <c r="Q19" s="11"/>
      <c r="R19" s="11"/>
      <c r="S19" s="11"/>
      <c r="T19" s="14"/>
    </row>
    <row r="20" spans="2:20" x14ac:dyDescent="0.35">
      <c r="B20" s="10"/>
      <c r="C20" s="20"/>
      <c r="D20" s="20"/>
      <c r="E20" s="11"/>
      <c r="F20" s="21"/>
      <c r="G20" s="21"/>
      <c r="H20" s="11"/>
      <c r="I20" s="22"/>
      <c r="J20" s="22"/>
      <c r="K20" s="11"/>
      <c r="L20" s="11"/>
      <c r="M20" s="11"/>
      <c r="N20" s="11"/>
      <c r="O20" s="11"/>
      <c r="P20" s="11"/>
      <c r="Q20" s="11"/>
      <c r="R20" s="11"/>
      <c r="S20" s="11"/>
      <c r="T20" s="14"/>
    </row>
    <row r="21" spans="2:20" x14ac:dyDescent="0.35"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4"/>
    </row>
    <row r="22" spans="2:20" x14ac:dyDescent="0.35"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4"/>
    </row>
    <row r="23" spans="2:20" x14ac:dyDescent="0.35"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4"/>
    </row>
    <row r="24" spans="2:20" x14ac:dyDescent="0.35"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4"/>
    </row>
    <row r="25" spans="2:20" x14ac:dyDescent="0.35"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4"/>
    </row>
    <row r="26" spans="2:20" x14ac:dyDescent="0.35"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4"/>
    </row>
    <row r="27" spans="2:20" x14ac:dyDescent="0.35">
      <c r="B27" s="10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4"/>
    </row>
    <row r="28" spans="2:20" x14ac:dyDescent="0.35"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4"/>
    </row>
    <row r="29" spans="2:20" x14ac:dyDescent="0.35"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4"/>
    </row>
    <row r="30" spans="2:20" x14ac:dyDescent="0.35"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4"/>
    </row>
    <row r="31" spans="2:20" x14ac:dyDescent="0.35"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4"/>
    </row>
    <row r="32" spans="2:20" x14ac:dyDescent="0.35">
      <c r="B32" s="10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4"/>
    </row>
    <row r="33" spans="2:20" x14ac:dyDescent="0.3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4"/>
    </row>
    <row r="34" spans="2:20" x14ac:dyDescent="0.35"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4"/>
    </row>
    <row r="35" spans="2:20" x14ac:dyDescent="0.35"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4"/>
    </row>
    <row r="36" spans="2:20" x14ac:dyDescent="0.35"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4"/>
    </row>
    <row r="37" spans="2:20" x14ac:dyDescent="0.35"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4"/>
    </row>
    <row r="38" spans="2:20" x14ac:dyDescent="0.35"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4"/>
    </row>
    <row r="39" spans="2:20" x14ac:dyDescent="0.35"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4"/>
    </row>
    <row r="40" spans="2:20" x14ac:dyDescent="0.35"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4"/>
    </row>
    <row r="41" spans="2:20" x14ac:dyDescent="0.35"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4"/>
    </row>
    <row r="42" spans="2:20" x14ac:dyDescent="0.35"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4"/>
    </row>
    <row r="43" spans="2:20" x14ac:dyDescent="0.35"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4"/>
    </row>
    <row r="44" spans="2:20" x14ac:dyDescent="0.35"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4"/>
    </row>
    <row r="45" spans="2:20" x14ac:dyDescent="0.35"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4"/>
    </row>
    <row r="46" spans="2:20" x14ac:dyDescent="0.35"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4"/>
    </row>
    <row r="47" spans="2:20" x14ac:dyDescent="0.35"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4"/>
    </row>
    <row r="48" spans="2:20" x14ac:dyDescent="0.35"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4"/>
    </row>
    <row r="49" spans="2:20" x14ac:dyDescent="0.35"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4"/>
    </row>
    <row r="50" spans="2:20" x14ac:dyDescent="0.35">
      <c r="B50" s="10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4"/>
    </row>
    <row r="51" spans="2:20" ht="15" thickBot="1" x14ac:dyDescent="0.4">
      <c r="B51" s="23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5"/>
    </row>
  </sheetData>
  <mergeCells count="15">
    <mergeCell ref="E3:Q6"/>
    <mergeCell ref="C10:D10"/>
    <mergeCell ref="C11:D13"/>
    <mergeCell ref="F10:G10"/>
    <mergeCell ref="F11:G13"/>
    <mergeCell ref="I10:J10"/>
    <mergeCell ref="I11:J13"/>
    <mergeCell ref="L10:M10"/>
    <mergeCell ref="L11:M13"/>
    <mergeCell ref="C17:D17"/>
    <mergeCell ref="C18:D20"/>
    <mergeCell ref="F17:G17"/>
    <mergeCell ref="F18:G20"/>
    <mergeCell ref="I17:J17"/>
    <mergeCell ref="I18:J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25" zoomScale="90" zoomScaleNormal="90" workbookViewId="0">
      <selection activeCell="T18" sqref="T18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</vt:lpstr>
      <vt:lpstr>Sheet3</vt:lpstr>
      <vt:lpstr>Pivot</vt:lpstr>
      <vt:lpstr>Dashboard</vt:lpstr>
      <vt:lpstr>Dashboard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LENOVA</cp:lastModifiedBy>
  <dcterms:created xsi:type="dcterms:W3CDTF">2026-04-09T06:24:25Z</dcterms:created>
  <dcterms:modified xsi:type="dcterms:W3CDTF">2026-04-10T02:57:33Z</dcterms:modified>
</cp:coreProperties>
</file>